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wenpurnomo/Desktop/BU Undergraduate/Spring 2026/Credit Analysis/BHC Distressed/"/>
    </mc:Choice>
  </mc:AlternateContent>
  <xr:revisionPtr revIDLastSave="0" documentId="13_ncr:1_{FEDE0693-9C06-9B42-B562-81BF23FA8C67}" xr6:coauthVersionLast="47" xr6:coauthVersionMax="47" xr10:uidLastSave="{00000000-0000-0000-0000-000000000000}"/>
  <bookViews>
    <workbookView xWindow="0" yWindow="740" windowWidth="29400" windowHeight="17280" activeTab="3" xr2:uid="{B4E3E162-F091-E842-91EA-3A2FDDB17AB9}"/>
  </bookViews>
  <sheets>
    <sheet name="BCLO" sheetId="2" r:id="rId1"/>
    <sheet name="Segment" sheetId="1" r:id="rId2"/>
    <sheet name="Industry &amp; Scenario" sheetId="4" r:id="rId3"/>
    <sheet name="Data" sheetId="3" r:id="rId4"/>
  </sheets>
  <externalReferences>
    <externalReference r:id="rId5"/>
  </externalReferences>
  <definedNames>
    <definedName name="current_price">[1]Summary!$C$8</definedName>
    <definedName name="Scenario">Segment!$B$3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100" i="2" l="1"/>
  <c r="U93" i="2"/>
  <c r="Z9" i="1"/>
  <c r="Z10" i="1"/>
  <c r="H9" i="4"/>
  <c r="I9" i="4"/>
  <c r="G9" i="4"/>
  <c r="G10" i="4"/>
  <c r="L8" i="4"/>
  <c r="M8" i="4"/>
  <c r="D5" i="4"/>
  <c r="AP100" i="2"/>
  <c r="AP11" i="2"/>
  <c r="AQ11" i="2"/>
  <c r="AR11" i="2"/>
  <c r="AP10" i="2"/>
  <c r="AQ10" i="2"/>
  <c r="AR10" i="2"/>
  <c r="AP9" i="2"/>
  <c r="AQ9" i="2"/>
  <c r="AR9" i="2"/>
  <c r="AP8" i="2"/>
  <c r="AQ8" i="2"/>
  <c r="AR8" i="2"/>
  <c r="AP7" i="2"/>
  <c r="AQ7" i="2"/>
  <c r="AR7" i="2"/>
  <c r="AP9" i="1"/>
  <c r="AP27" i="1"/>
  <c r="AQ27" i="1"/>
  <c r="AR27" i="1"/>
  <c r="AP19" i="1"/>
  <c r="AP18" i="1" s="1"/>
  <c r="AQ19" i="1"/>
  <c r="AR19" i="1"/>
  <c r="AP14" i="1"/>
  <c r="AP13" i="1" s="1"/>
  <c r="AQ14" i="1"/>
  <c r="AR14" i="1"/>
  <c r="AO9" i="1"/>
  <c r="AQ9" i="1"/>
  <c r="AR9" i="1"/>
  <c r="AR4" i="1"/>
  <c r="AQ4" i="1"/>
  <c r="AP4" i="1"/>
  <c r="AR73" i="2"/>
  <c r="AP83" i="2"/>
  <c r="AQ83" i="2"/>
  <c r="AR83" i="2"/>
  <c r="AR85" i="2" s="1"/>
  <c r="AP85" i="2"/>
  <c r="AQ85" i="2"/>
  <c r="AP4" i="2"/>
  <c r="I10" i="4"/>
  <c r="H10" i="4"/>
  <c r="AQ100" i="2" l="1"/>
  <c r="AR100" i="2" s="1"/>
  <c r="AQ18" i="1"/>
  <c r="AR18" i="1" s="1"/>
  <c r="AQ13" i="1"/>
  <c r="AR13" i="1" s="1"/>
  <c r="Z89" i="2"/>
  <c r="AE89" i="2" s="1"/>
  <c r="AJ89" i="2" s="1"/>
  <c r="AO89" i="2" s="1"/>
  <c r="AP89" i="2" s="1"/>
  <c r="AQ89" i="2" s="1"/>
  <c r="AR89" i="2" s="1"/>
  <c r="AA83" i="2"/>
  <c r="AB83" i="2"/>
  <c r="AC83" i="2"/>
  <c r="AD83" i="2"/>
  <c r="AE83" i="2"/>
  <c r="AF83" i="2"/>
  <c r="AG83" i="2"/>
  <c r="AH83" i="2"/>
  <c r="AI83" i="2"/>
  <c r="AJ83" i="2"/>
  <c r="AK83" i="2"/>
  <c r="AL83" i="2"/>
  <c r="AM83" i="2"/>
  <c r="AN83" i="2"/>
  <c r="AO83" i="2"/>
  <c r="AO85" i="2" s="1"/>
  <c r="Z83" i="2"/>
  <c r="AA76" i="2"/>
  <c r="AF76" i="2" s="1"/>
  <c r="AK76" i="2" s="1"/>
  <c r="AB76" i="2"/>
  <c r="AG76" i="2" s="1"/>
  <c r="AL76" i="2" s="1"/>
  <c r="AC76" i="2"/>
  <c r="AH76" i="2" s="1"/>
  <c r="AM76" i="2" s="1"/>
  <c r="AD76" i="2"/>
  <c r="AI76" i="2" s="1"/>
  <c r="AN76" i="2" s="1"/>
  <c r="Z76" i="2"/>
  <c r="AE76" i="2" s="1"/>
  <c r="AJ76" i="2" s="1"/>
  <c r="AO76" i="2" s="1"/>
  <c r="AP76" i="2" s="1"/>
  <c r="AQ76" i="2" s="1"/>
  <c r="AR76" i="2" s="1"/>
  <c r="AA74" i="2"/>
  <c r="AB74" i="2"/>
  <c r="AC74" i="2"/>
  <c r="AD74" i="2"/>
  <c r="AI74" i="2" s="1"/>
  <c r="Z74" i="2"/>
  <c r="AE74" i="2" s="1"/>
  <c r="AA77" i="2"/>
  <c r="AB77" i="2"/>
  <c r="AC77" i="2"/>
  <c r="AD77" i="2"/>
  <c r="Z77" i="2"/>
  <c r="AG77" i="2" s="1"/>
  <c r="Z78" i="2"/>
  <c r="AE78" i="2" s="1"/>
  <c r="AJ78" i="2" s="1"/>
  <c r="AO78" i="2" s="1"/>
  <c r="AP78" i="2" s="1"/>
  <c r="AQ78" i="2" s="1"/>
  <c r="AR78" i="2" s="1"/>
  <c r="AG74" i="2" l="1"/>
  <c r="AF77" i="2"/>
  <c r="AF74" i="2"/>
  <c r="AN74" i="2" s="1"/>
  <c r="AH74" i="2"/>
  <c r="AI77" i="2"/>
  <c r="AE77" i="2"/>
  <c r="AL77" i="2" s="1"/>
  <c r="AH77" i="2"/>
  <c r="AQ74" i="2"/>
  <c r="AK74" i="2"/>
  <c r="AJ74" i="2"/>
  <c r="AL74" i="2"/>
  <c r="AM77" i="2"/>
  <c r="AM74" i="2" l="1"/>
  <c r="AR74" i="2" s="1"/>
  <c r="AR108" i="2" s="1"/>
  <c r="AN77" i="2"/>
  <c r="AJ77" i="2"/>
  <c r="AR77" i="2" s="1"/>
  <c r="AQ77" i="2"/>
  <c r="AP77" i="2"/>
  <c r="AQ108" i="2"/>
  <c r="AO74" i="2"/>
  <c r="AK77" i="2"/>
  <c r="AP74" i="2"/>
  <c r="AQ4" i="2"/>
  <c r="AR4" i="2"/>
  <c r="AA78" i="2"/>
  <c r="AF78" i="2" s="1"/>
  <c r="AK78" i="2" s="1"/>
  <c r="AB78" i="2"/>
  <c r="AG78" i="2" s="1"/>
  <c r="AL78" i="2" s="1"/>
  <c r="AC78" i="2"/>
  <c r="AH78" i="2" s="1"/>
  <c r="AM78" i="2" s="1"/>
  <c r="AD78" i="2"/>
  <c r="AI78" i="2" s="1"/>
  <c r="AN78" i="2" s="1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F102" i="2"/>
  <c r="AO100" i="2"/>
  <c r="A5" i="3"/>
  <c r="A3" i="3"/>
  <c r="AO77" i="2" l="1"/>
  <c r="AE100" i="2"/>
  <c r="AP108" i="2"/>
  <c r="AJ100" i="2"/>
  <c r="F108" i="2"/>
  <c r="G109" i="2"/>
  <c r="H109" i="2"/>
  <c r="I109" i="2"/>
  <c r="J109" i="2"/>
  <c r="L109" i="2"/>
  <c r="M109" i="2"/>
  <c r="N109" i="2"/>
  <c r="O109" i="2"/>
  <c r="Q109" i="2"/>
  <c r="R109" i="2"/>
  <c r="S109" i="2"/>
  <c r="T109" i="2"/>
  <c r="V109" i="2"/>
  <c r="W109" i="2"/>
  <c r="X109" i="2"/>
  <c r="Y109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AJ108" i="2"/>
  <c r="AK108" i="2"/>
  <c r="AL108" i="2"/>
  <c r="AM108" i="2"/>
  <c r="AN108" i="2"/>
  <c r="AO108" i="2"/>
  <c r="F86" i="2" l="1"/>
  <c r="K86" i="2"/>
  <c r="P86" i="2"/>
  <c r="U86" i="2"/>
  <c r="K75" i="2"/>
  <c r="P75" i="2"/>
  <c r="G89" i="2"/>
  <c r="H89" i="2"/>
  <c r="I89" i="2"/>
  <c r="J89" i="2"/>
  <c r="L89" i="2"/>
  <c r="M89" i="2"/>
  <c r="N89" i="2"/>
  <c r="O89" i="2"/>
  <c r="Q89" i="2"/>
  <c r="R89" i="2"/>
  <c r="S89" i="2"/>
  <c r="T89" i="2"/>
  <c r="V89" i="2"/>
  <c r="AA89" i="2" s="1"/>
  <c r="AF89" i="2" s="1"/>
  <c r="AK89" i="2" s="1"/>
  <c r="W89" i="2"/>
  <c r="AB89" i="2" s="1"/>
  <c r="AG89" i="2" s="1"/>
  <c r="AL89" i="2" s="1"/>
  <c r="X89" i="2"/>
  <c r="AC89" i="2" s="1"/>
  <c r="AH89" i="2" s="1"/>
  <c r="AM89" i="2" s="1"/>
  <c r="Y89" i="2"/>
  <c r="AD89" i="2" s="1"/>
  <c r="AI89" i="2" s="1"/>
  <c r="AN89" i="2" s="1"/>
  <c r="G85" i="2"/>
  <c r="G88" i="2" s="1"/>
  <c r="H85" i="2"/>
  <c r="H88" i="2" s="1"/>
  <c r="I85" i="2"/>
  <c r="I88" i="2" s="1"/>
  <c r="J85" i="2"/>
  <c r="J88" i="2" s="1"/>
  <c r="K85" i="2"/>
  <c r="L85" i="2"/>
  <c r="L88" i="2" s="1"/>
  <c r="M85" i="2"/>
  <c r="M88" i="2" s="1"/>
  <c r="N85" i="2"/>
  <c r="N88" i="2" s="1"/>
  <c r="O85" i="2"/>
  <c r="O88" i="2" s="1"/>
  <c r="P85" i="2"/>
  <c r="Q85" i="2"/>
  <c r="Q88" i="2" s="1"/>
  <c r="R85" i="2"/>
  <c r="R88" i="2" s="1"/>
  <c r="S85" i="2"/>
  <c r="S88" i="2" s="1"/>
  <c r="T85" i="2"/>
  <c r="T88" i="2" s="1"/>
  <c r="U85" i="2"/>
  <c r="V85" i="2"/>
  <c r="V88" i="2" s="1"/>
  <c r="W85" i="2"/>
  <c r="W88" i="2" s="1"/>
  <c r="X85" i="2"/>
  <c r="X88" i="2" s="1"/>
  <c r="Y85" i="2"/>
  <c r="Y88" i="2" s="1"/>
  <c r="Z85" i="2"/>
  <c r="AA85" i="2"/>
  <c r="AB85" i="2"/>
  <c r="AC85" i="2"/>
  <c r="AD85" i="2"/>
  <c r="AE85" i="2"/>
  <c r="AF85" i="2"/>
  <c r="AG85" i="2"/>
  <c r="AH85" i="2"/>
  <c r="AI85" i="2"/>
  <c r="AJ85" i="2"/>
  <c r="AK85" i="2"/>
  <c r="AL85" i="2"/>
  <c r="AM85" i="2"/>
  <c r="AN85" i="2"/>
  <c r="F85" i="2"/>
  <c r="F88" i="2" s="1"/>
  <c r="G75" i="2"/>
  <c r="H75" i="2"/>
  <c r="I75" i="2"/>
  <c r="J75" i="2"/>
  <c r="L75" i="2"/>
  <c r="M75" i="2"/>
  <c r="N75" i="2"/>
  <c r="O75" i="2"/>
  <c r="Q75" i="2"/>
  <c r="R75" i="2"/>
  <c r="S75" i="2"/>
  <c r="T75" i="2"/>
  <c r="U75" i="2"/>
  <c r="V75" i="2"/>
  <c r="W75" i="2"/>
  <c r="X75" i="2"/>
  <c r="Y75" i="2"/>
  <c r="F75" i="2"/>
  <c r="P109" i="2" l="1"/>
  <c r="U81" i="2"/>
  <c r="U90" i="2" s="1"/>
  <c r="U109" i="2"/>
  <c r="AA88" i="2"/>
  <c r="K109" i="2"/>
  <c r="AD86" i="2"/>
  <c r="AB86" i="2"/>
  <c r="AB109" i="2" s="1"/>
  <c r="AE86" i="2"/>
  <c r="AE109" i="2" s="1"/>
  <c r="AA86" i="2"/>
  <c r="AA109" i="2" s="1"/>
  <c r="AC86" i="2"/>
  <c r="AC109" i="2" s="1"/>
  <c r="F109" i="2"/>
  <c r="Z86" i="2"/>
  <c r="U88" i="2"/>
  <c r="K88" i="2"/>
  <c r="K81" i="2"/>
  <c r="K90" i="2" s="1"/>
  <c r="I81" i="2"/>
  <c r="I90" i="2" s="1"/>
  <c r="H81" i="2"/>
  <c r="H90" i="2" s="1"/>
  <c r="G81" i="2"/>
  <c r="G90" i="2" s="1"/>
  <c r="P88" i="2"/>
  <c r="S81" i="2"/>
  <c r="S90" i="2" s="1"/>
  <c r="R81" i="2"/>
  <c r="R90" i="2" s="1"/>
  <c r="F81" i="2"/>
  <c r="F90" i="2" s="1"/>
  <c r="O81" i="2"/>
  <c r="O90" i="2" s="1"/>
  <c r="Q81" i="2"/>
  <c r="Q90" i="2" s="1"/>
  <c r="T81" i="2"/>
  <c r="T90" i="2" s="1"/>
  <c r="M81" i="2"/>
  <c r="M90" i="2" s="1"/>
  <c r="J81" i="2"/>
  <c r="J90" i="2" s="1"/>
  <c r="P81" i="2"/>
  <c r="L81" i="2"/>
  <c r="L90" i="2" s="1"/>
  <c r="N81" i="2"/>
  <c r="N90" i="2" s="1"/>
  <c r="AG86" i="2" l="1"/>
  <c r="AE88" i="2"/>
  <c r="AC88" i="2"/>
  <c r="AB88" i="2"/>
  <c r="AI86" i="2"/>
  <c r="AD109" i="2"/>
  <c r="AJ86" i="2"/>
  <c r="AF86" i="2"/>
  <c r="AK86" i="2" s="1"/>
  <c r="AH86" i="2"/>
  <c r="AD88" i="2"/>
  <c r="P90" i="2"/>
  <c r="U100" i="2"/>
  <c r="Z32" i="2"/>
  <c r="V101" i="2"/>
  <c r="V103" i="2" s="1"/>
  <c r="W101" i="2"/>
  <c r="W103" i="2" s="1"/>
  <c r="X101" i="2"/>
  <c r="X103" i="2" s="1"/>
  <c r="Y101" i="2"/>
  <c r="Y103" i="2" s="1"/>
  <c r="G101" i="2"/>
  <c r="G103" i="2" s="1"/>
  <c r="H101" i="2"/>
  <c r="H103" i="2" s="1"/>
  <c r="I101" i="2"/>
  <c r="I103" i="2" s="1"/>
  <c r="J101" i="2"/>
  <c r="J103" i="2" s="1"/>
  <c r="L101" i="2"/>
  <c r="L103" i="2" s="1"/>
  <c r="M101" i="2"/>
  <c r="M103" i="2" s="1"/>
  <c r="N101" i="2"/>
  <c r="N103" i="2" s="1"/>
  <c r="O101" i="2"/>
  <c r="O103" i="2" s="1"/>
  <c r="Q101" i="2"/>
  <c r="Q103" i="2" s="1"/>
  <c r="R101" i="2"/>
  <c r="R103" i="2" s="1"/>
  <c r="S101" i="2"/>
  <c r="S103" i="2" s="1"/>
  <c r="T101" i="2"/>
  <c r="T103" i="2" s="1"/>
  <c r="P100" i="2"/>
  <c r="K100" i="2"/>
  <c r="F100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AA51" i="2"/>
  <c r="AB51" i="2"/>
  <c r="AC51" i="2"/>
  <c r="AD51" i="2"/>
  <c r="F51" i="2"/>
  <c r="U37" i="2"/>
  <c r="AA44" i="2"/>
  <c r="AF44" i="2" s="1"/>
  <c r="AB44" i="2"/>
  <c r="AB101" i="2" s="1"/>
  <c r="AC44" i="2"/>
  <c r="AH44" i="2" s="1"/>
  <c r="AM44" i="2" s="1"/>
  <c r="AM101" i="2" s="1"/>
  <c r="AD44" i="2"/>
  <c r="AD101" i="2" s="1"/>
  <c r="Z44" i="2"/>
  <c r="F37" i="2"/>
  <c r="K37" i="2"/>
  <c r="P37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F29" i="2"/>
  <c r="AA22" i="2"/>
  <c r="AB22" i="2"/>
  <c r="AC22" i="2"/>
  <c r="AD22" i="2"/>
  <c r="Z22" i="2"/>
  <c r="U15" i="2"/>
  <c r="P15" i="2"/>
  <c r="F15" i="2"/>
  <c r="K15" i="2"/>
  <c r="G15" i="2"/>
  <c r="H15" i="2"/>
  <c r="I15" i="2"/>
  <c r="J15" i="2"/>
  <c r="L15" i="2"/>
  <c r="M15" i="2"/>
  <c r="N15" i="2"/>
  <c r="O15" i="2"/>
  <c r="Q15" i="2"/>
  <c r="R15" i="2"/>
  <c r="S15" i="2"/>
  <c r="T15" i="2"/>
  <c r="V15" i="2"/>
  <c r="W15" i="2"/>
  <c r="X15" i="2"/>
  <c r="Y15" i="2"/>
  <c r="K6" i="2"/>
  <c r="G11" i="2"/>
  <c r="H11" i="2"/>
  <c r="I11" i="2"/>
  <c r="J11" i="2"/>
  <c r="K11" i="2"/>
  <c r="Y11" i="2"/>
  <c r="F11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F8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F10" i="2"/>
  <c r="G9" i="2"/>
  <c r="H9" i="2"/>
  <c r="I9" i="2"/>
  <c r="J9" i="2"/>
  <c r="F9" i="2"/>
  <c r="G6" i="2"/>
  <c r="H6" i="2"/>
  <c r="I6" i="2"/>
  <c r="J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F6" i="2"/>
  <c r="F4" i="2"/>
  <c r="G3" i="2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Z27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F25" i="1"/>
  <c r="Z20" i="1"/>
  <c r="Z19" i="1" s="1"/>
  <c r="AE9" i="1"/>
  <c r="AA19" i="1"/>
  <c r="AB19" i="1"/>
  <c r="AC19" i="1"/>
  <c r="AD19" i="1"/>
  <c r="AE19" i="1"/>
  <c r="AE11" i="2" s="1"/>
  <c r="AF19" i="1"/>
  <c r="AF11" i="2" s="1"/>
  <c r="AG19" i="1"/>
  <c r="AG11" i="2" s="1"/>
  <c r="AH19" i="1"/>
  <c r="AH11" i="2" s="1"/>
  <c r="AI19" i="1"/>
  <c r="AI11" i="2" s="1"/>
  <c r="AJ19" i="1"/>
  <c r="AJ11" i="2" s="1"/>
  <c r="AK19" i="1"/>
  <c r="AK11" i="2" s="1"/>
  <c r="AL19" i="1"/>
  <c r="AL11" i="2" s="1"/>
  <c r="AM19" i="1"/>
  <c r="AM11" i="2" s="1"/>
  <c r="AN19" i="1"/>
  <c r="AN11" i="2" s="1"/>
  <c r="AO19" i="1"/>
  <c r="AO11" i="2" s="1"/>
  <c r="AA14" i="1"/>
  <c r="AA13" i="1" s="1"/>
  <c r="AA8" i="2" s="1"/>
  <c r="AB14" i="1"/>
  <c r="AB13" i="1" s="1"/>
  <c r="AB8" i="2" s="1"/>
  <c r="AC14" i="1"/>
  <c r="AC13" i="1" s="1"/>
  <c r="AC8" i="2" s="1"/>
  <c r="AD14" i="1"/>
  <c r="AD13" i="1" s="1"/>
  <c r="AD8" i="2" s="1"/>
  <c r="AE14" i="1"/>
  <c r="AF14" i="1"/>
  <c r="AG14" i="1"/>
  <c r="AH14" i="1"/>
  <c r="AI14" i="1"/>
  <c r="AJ14" i="1"/>
  <c r="AK14" i="1"/>
  <c r="AL14" i="1"/>
  <c r="AM14" i="1"/>
  <c r="AN14" i="1"/>
  <c r="AO14" i="1"/>
  <c r="Z14" i="1"/>
  <c r="Z13" i="1" s="1"/>
  <c r="Z8" i="2" s="1"/>
  <c r="AA9" i="1"/>
  <c r="AB9" i="1"/>
  <c r="AC9" i="1"/>
  <c r="AD9" i="1"/>
  <c r="AF9" i="1"/>
  <c r="AG9" i="1"/>
  <c r="AH9" i="1"/>
  <c r="AI9" i="1"/>
  <c r="AJ9" i="1"/>
  <c r="AK9" i="1"/>
  <c r="AL9" i="1"/>
  <c r="AM9" i="1"/>
  <c r="AN9" i="1"/>
  <c r="AO7" i="2"/>
  <c r="L19" i="1"/>
  <c r="L11" i="2" s="1"/>
  <c r="M19" i="1"/>
  <c r="M11" i="2" s="1"/>
  <c r="N19" i="1"/>
  <c r="N11" i="2" s="1"/>
  <c r="O19" i="1"/>
  <c r="O11" i="2" s="1"/>
  <c r="P19" i="1"/>
  <c r="P11" i="2" s="1"/>
  <c r="Q19" i="1"/>
  <c r="Q11" i="2" s="1"/>
  <c r="R19" i="1"/>
  <c r="R11" i="2" s="1"/>
  <c r="S19" i="1"/>
  <c r="S11" i="2" s="1"/>
  <c r="T19" i="1"/>
  <c r="T11" i="2" s="1"/>
  <c r="U19" i="1"/>
  <c r="U11" i="2" s="1"/>
  <c r="V19" i="1"/>
  <c r="V11" i="2" s="1"/>
  <c r="W19" i="1"/>
  <c r="W11" i="2" s="1"/>
  <c r="X19" i="1"/>
  <c r="X11" i="2" s="1"/>
  <c r="Y19" i="1"/>
  <c r="K19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F6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K14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K9" i="1"/>
  <c r="F4" i="1"/>
  <c r="G3" i="1"/>
  <c r="AG109" i="2" l="1"/>
  <c r="AG88" i="2"/>
  <c r="AK109" i="2"/>
  <c r="AK88" i="2"/>
  <c r="Z51" i="2"/>
  <c r="AR32" i="2"/>
  <c r="AR51" i="2" s="1"/>
  <c r="AQ32" i="2"/>
  <c r="AQ51" i="2" s="1"/>
  <c r="AO86" i="2"/>
  <c r="AP86" i="2"/>
  <c r="AL86" i="2"/>
  <c r="AJ109" i="2"/>
  <c r="AJ88" i="2"/>
  <c r="AM86" i="2"/>
  <c r="AF109" i="2"/>
  <c r="AF88" i="2"/>
  <c r="AN86" i="2"/>
  <c r="AH109" i="2"/>
  <c r="AH88" i="2"/>
  <c r="AE44" i="2"/>
  <c r="AJ44" i="2" s="1"/>
  <c r="AO44" i="2" s="1"/>
  <c r="AI109" i="2"/>
  <c r="AI88" i="2"/>
  <c r="O96" i="2"/>
  <c r="J96" i="2"/>
  <c r="AG32" i="2"/>
  <c r="AF32" i="2"/>
  <c r="AI32" i="2"/>
  <c r="AK44" i="2"/>
  <c r="AK101" i="2" s="1"/>
  <c r="AF101" i="2"/>
  <c r="AA101" i="2"/>
  <c r="AH101" i="2"/>
  <c r="Z101" i="2"/>
  <c r="E5" i="4" s="1"/>
  <c r="AH32" i="2"/>
  <c r="AH51" i="2" s="1"/>
  <c r="AI44" i="2"/>
  <c r="AG44" i="2"/>
  <c r="AC101" i="2"/>
  <c r="AJ101" i="2"/>
  <c r="AE32" i="2"/>
  <c r="AJ32" i="2" s="1"/>
  <c r="AJ51" i="2" s="1"/>
  <c r="U101" i="2"/>
  <c r="U103" i="2" s="1"/>
  <c r="P101" i="2"/>
  <c r="P103" i="2" s="1"/>
  <c r="K101" i="2"/>
  <c r="K103" i="2" s="1"/>
  <c r="F101" i="2"/>
  <c r="F103" i="2" s="1"/>
  <c r="AF51" i="2"/>
  <c r="AG51" i="2"/>
  <c r="AI51" i="2"/>
  <c r="AK51" i="2"/>
  <c r="AL51" i="2"/>
  <c r="AM51" i="2"/>
  <c r="AN51" i="2"/>
  <c r="AE22" i="2"/>
  <c r="AJ22" i="2" s="1"/>
  <c r="AF22" i="2"/>
  <c r="AG22" i="2"/>
  <c r="AH22" i="2"/>
  <c r="AI22" i="2"/>
  <c r="Z18" i="1"/>
  <c r="Z10" i="2" s="1"/>
  <c r="Z11" i="2"/>
  <c r="AE7" i="2"/>
  <c r="AE9" i="2"/>
  <c r="AA18" i="1"/>
  <c r="AA10" i="2" s="1"/>
  <c r="AA11" i="2"/>
  <c r="AB18" i="1"/>
  <c r="AB10" i="2" s="1"/>
  <c r="AB11" i="2"/>
  <c r="AC18" i="1"/>
  <c r="AC10" i="2" s="1"/>
  <c r="AC11" i="2"/>
  <c r="AD18" i="1"/>
  <c r="AD10" i="2" s="1"/>
  <c r="AD11" i="2"/>
  <c r="AA8" i="1"/>
  <c r="AA6" i="2" s="1"/>
  <c r="AA9" i="2"/>
  <c r="AA7" i="2"/>
  <c r="AB8" i="1"/>
  <c r="AB6" i="2" s="1"/>
  <c r="AB9" i="2"/>
  <c r="AB7" i="2"/>
  <c r="AC8" i="1"/>
  <c r="AC6" i="2" s="1"/>
  <c r="AC9" i="2"/>
  <c r="AC7" i="2"/>
  <c r="AD8" i="1"/>
  <c r="AD6" i="2" s="1"/>
  <c r="AD9" i="2"/>
  <c r="AD7" i="2"/>
  <c r="AF9" i="2"/>
  <c r="AF7" i="2"/>
  <c r="AG7" i="2"/>
  <c r="AG9" i="2"/>
  <c r="AH7" i="2"/>
  <c r="AH9" i="2"/>
  <c r="AI7" i="2"/>
  <c r="AI9" i="2"/>
  <c r="AJ9" i="2"/>
  <c r="AJ7" i="2"/>
  <c r="AK9" i="2"/>
  <c r="AK7" i="2"/>
  <c r="AL9" i="2"/>
  <c r="AL7" i="2"/>
  <c r="AM9" i="2"/>
  <c r="AM7" i="2"/>
  <c r="AN9" i="2"/>
  <c r="AN7" i="2"/>
  <c r="AO9" i="2"/>
  <c r="G13" i="2"/>
  <c r="G53" i="2" s="1"/>
  <c r="G27" i="1"/>
  <c r="H27" i="1"/>
  <c r="H13" i="2"/>
  <c r="H53" i="2" s="1"/>
  <c r="I13" i="2"/>
  <c r="I53" i="2" s="1"/>
  <c r="I27" i="1"/>
  <c r="J13" i="2"/>
  <c r="J53" i="2" s="1"/>
  <c r="J27" i="1"/>
  <c r="K13" i="2"/>
  <c r="K53" i="2" s="1"/>
  <c r="K7" i="1"/>
  <c r="K27" i="1"/>
  <c r="L7" i="1"/>
  <c r="L13" i="2"/>
  <c r="L53" i="2" s="1"/>
  <c r="L27" i="1"/>
  <c r="M7" i="1"/>
  <c r="M13" i="2"/>
  <c r="M53" i="2" s="1"/>
  <c r="M27" i="1"/>
  <c r="N7" i="1"/>
  <c r="N13" i="2"/>
  <c r="N53" i="2" s="1"/>
  <c r="N27" i="1"/>
  <c r="O27" i="1"/>
  <c r="O7" i="1"/>
  <c r="O13" i="2"/>
  <c r="O53" i="2" s="1"/>
  <c r="P7" i="1"/>
  <c r="P27" i="1"/>
  <c r="P13" i="2"/>
  <c r="P53" i="2" s="1"/>
  <c r="Q27" i="1"/>
  <c r="Q7" i="1"/>
  <c r="Q13" i="2"/>
  <c r="Q53" i="2" s="1"/>
  <c r="R7" i="1"/>
  <c r="R27" i="1"/>
  <c r="R13" i="2"/>
  <c r="R53" i="2" s="1"/>
  <c r="S13" i="2"/>
  <c r="S53" i="2" s="1"/>
  <c r="S7" i="1"/>
  <c r="S27" i="1"/>
  <c r="T7" i="1"/>
  <c r="T27" i="1"/>
  <c r="T13" i="2"/>
  <c r="T53" i="2" s="1"/>
  <c r="U7" i="1"/>
  <c r="U27" i="1"/>
  <c r="U13" i="2"/>
  <c r="U53" i="2" s="1"/>
  <c r="V13" i="2"/>
  <c r="V96" i="2" s="1"/>
  <c r="V7" i="1"/>
  <c r="W13" i="2"/>
  <c r="W16" i="2" s="1"/>
  <c r="W7" i="1"/>
  <c r="X13" i="2"/>
  <c r="X16" i="2" s="1"/>
  <c r="X7" i="1"/>
  <c r="Y13" i="2"/>
  <c r="Y16" i="2" s="1"/>
  <c r="Y7" i="1"/>
  <c r="F27" i="1"/>
  <c r="F13" i="2"/>
  <c r="F53" i="2" s="1"/>
  <c r="L9" i="2"/>
  <c r="L7" i="2"/>
  <c r="M9" i="2"/>
  <c r="M7" i="2"/>
  <c r="N7" i="2"/>
  <c r="N9" i="2"/>
  <c r="O7" i="2"/>
  <c r="O9" i="2"/>
  <c r="P7" i="2"/>
  <c r="P9" i="2"/>
  <c r="Q7" i="2"/>
  <c r="Q9" i="2"/>
  <c r="R7" i="2"/>
  <c r="R9" i="2"/>
  <c r="S9" i="2"/>
  <c r="S7" i="2"/>
  <c r="T7" i="2"/>
  <c r="T9" i="2"/>
  <c r="U7" i="2"/>
  <c r="U9" i="2"/>
  <c r="V7" i="2"/>
  <c r="V9" i="2"/>
  <c r="W7" i="2"/>
  <c r="W9" i="2"/>
  <c r="X7" i="2"/>
  <c r="X9" i="2"/>
  <c r="Y7" i="2"/>
  <c r="Y9" i="2"/>
  <c r="Z8" i="1"/>
  <c r="Z6" i="2" s="1"/>
  <c r="K9" i="2"/>
  <c r="K7" i="2"/>
  <c r="H3" i="2"/>
  <c r="G4" i="2"/>
  <c r="AE18" i="1"/>
  <c r="AF13" i="1"/>
  <c r="AI18" i="1"/>
  <c r="AH13" i="1"/>
  <c r="AH8" i="2" s="1"/>
  <c r="AG13" i="1"/>
  <c r="AG8" i="2" s="1"/>
  <c r="AI13" i="1"/>
  <c r="AI8" i="2" s="1"/>
  <c r="AG8" i="1"/>
  <c r="AG6" i="2" s="1"/>
  <c r="AD6" i="1"/>
  <c r="AI8" i="1"/>
  <c r="AI6" i="2" s="1"/>
  <c r="AH18" i="1"/>
  <c r="AH10" i="2" s="1"/>
  <c r="AE13" i="1"/>
  <c r="G4" i="1"/>
  <c r="H3" i="1"/>
  <c r="AP32" i="2" l="1"/>
  <c r="AP51" i="2" s="1"/>
  <c r="AO22" i="2"/>
  <c r="AP22" i="2" s="1"/>
  <c r="AQ22" i="2" s="1"/>
  <c r="AR22" i="2" s="1"/>
  <c r="G96" i="2"/>
  <c r="S96" i="2"/>
  <c r="AO88" i="2"/>
  <c r="AO109" i="2"/>
  <c r="AM109" i="2"/>
  <c r="AM88" i="2"/>
  <c r="AE101" i="2"/>
  <c r="X96" i="2"/>
  <c r="AR86" i="2"/>
  <c r="AR109" i="2" s="1"/>
  <c r="AO101" i="2"/>
  <c r="AP44" i="2"/>
  <c r="R96" i="2"/>
  <c r="AN109" i="2"/>
  <c r="AN88" i="2"/>
  <c r="AL109" i="2"/>
  <c r="AL88" i="2"/>
  <c r="F5" i="4"/>
  <c r="I96" i="2"/>
  <c r="AQ86" i="2"/>
  <c r="AP88" i="2"/>
  <c r="AP109" i="2"/>
  <c r="H96" i="2"/>
  <c r="N96" i="2"/>
  <c r="T96" i="2"/>
  <c r="L96" i="2"/>
  <c r="AN13" i="1"/>
  <c r="AN8" i="2" s="1"/>
  <c r="Y96" i="2"/>
  <c r="M96" i="2"/>
  <c r="W96" i="2"/>
  <c r="Q96" i="2"/>
  <c r="AF18" i="1"/>
  <c r="AG18" i="1"/>
  <c r="AB6" i="1"/>
  <c r="AB13" i="2" s="1"/>
  <c r="AB52" i="2" s="1"/>
  <c r="AL13" i="1"/>
  <c r="AL8" i="2" s="1"/>
  <c r="AF8" i="1"/>
  <c r="AF6" i="2" s="1"/>
  <c r="AM13" i="1"/>
  <c r="AM8" i="2" s="1"/>
  <c r="AA6" i="1"/>
  <c r="AA26" i="1" s="1"/>
  <c r="AA15" i="2" s="1"/>
  <c r="AL8" i="1"/>
  <c r="AL6" i="2" s="1"/>
  <c r="AM18" i="1"/>
  <c r="AM10" i="2" s="1"/>
  <c r="AH8" i="1"/>
  <c r="AH6" i="2" s="1"/>
  <c r="AC6" i="1"/>
  <c r="AC13" i="2" s="1"/>
  <c r="AC52" i="2" s="1"/>
  <c r="U96" i="2"/>
  <c r="K96" i="2"/>
  <c r="F96" i="2"/>
  <c r="P96" i="2"/>
  <c r="AN22" i="2"/>
  <c r="AL22" i="2"/>
  <c r="AM22" i="2"/>
  <c r="AK22" i="2"/>
  <c r="AL44" i="2"/>
  <c r="AL101" i="2" s="1"/>
  <c r="AG101" i="2"/>
  <c r="AN44" i="2"/>
  <c r="AN101" i="2" s="1"/>
  <c r="AI101" i="2"/>
  <c r="AE51" i="2"/>
  <c r="AO32" i="2"/>
  <c r="AO51" i="2" s="1"/>
  <c r="K14" i="2"/>
  <c r="K16" i="2"/>
  <c r="K17" i="2" s="1"/>
  <c r="L14" i="2"/>
  <c r="L16" i="2"/>
  <c r="L23" i="2" s="1"/>
  <c r="L33" i="2" s="1"/>
  <c r="M14" i="2"/>
  <c r="M16" i="2"/>
  <c r="M23" i="2" s="1"/>
  <c r="M33" i="2" s="1"/>
  <c r="N16" i="2"/>
  <c r="N23" i="2" s="1"/>
  <c r="N33" i="2" s="1"/>
  <c r="N14" i="2"/>
  <c r="O14" i="2"/>
  <c r="O16" i="2"/>
  <c r="P14" i="2"/>
  <c r="P16" i="2"/>
  <c r="P17" i="2" s="1"/>
  <c r="Q14" i="2"/>
  <c r="Q16" i="2"/>
  <c r="R14" i="2"/>
  <c r="R16" i="2"/>
  <c r="W14" i="2"/>
  <c r="S16" i="2"/>
  <c r="S14" i="2"/>
  <c r="X14" i="2"/>
  <c r="T16" i="2"/>
  <c r="T14" i="2"/>
  <c r="Y14" i="2"/>
  <c r="U16" i="2"/>
  <c r="U23" i="2" s="1"/>
  <c r="U14" i="2"/>
  <c r="V14" i="2"/>
  <c r="V16" i="2"/>
  <c r="G19" i="2"/>
  <c r="AA19" i="2" s="1"/>
  <c r="G21" i="2"/>
  <c r="AA21" i="2" s="1"/>
  <c r="G16" i="2"/>
  <c r="G17" i="2" s="1"/>
  <c r="H19" i="2"/>
  <c r="AB19" i="2" s="1"/>
  <c r="H21" i="2"/>
  <c r="AB21" i="2" s="1"/>
  <c r="H16" i="2"/>
  <c r="I19" i="2"/>
  <c r="AC19" i="2" s="1"/>
  <c r="I21" i="2"/>
  <c r="AC21" i="2" s="1"/>
  <c r="I16" i="2"/>
  <c r="J19" i="2"/>
  <c r="AD19" i="2" s="1"/>
  <c r="J21" i="2"/>
  <c r="AD21" i="2" s="1"/>
  <c r="J16" i="2"/>
  <c r="K19" i="2"/>
  <c r="K21" i="2"/>
  <c r="L19" i="2"/>
  <c r="AF19" i="2" s="1"/>
  <c r="L21" i="2"/>
  <c r="M19" i="2"/>
  <c r="AG19" i="2" s="1"/>
  <c r="M21" i="2"/>
  <c r="N19" i="2"/>
  <c r="AH19" i="2" s="1"/>
  <c r="N21" i="2"/>
  <c r="O19" i="2"/>
  <c r="AI19" i="2" s="1"/>
  <c r="O21" i="2"/>
  <c r="P19" i="2"/>
  <c r="P21" i="2"/>
  <c r="Q19" i="2"/>
  <c r="AK19" i="2" s="1"/>
  <c r="Q21" i="2"/>
  <c r="R19" i="2"/>
  <c r="AL19" i="2" s="1"/>
  <c r="R21" i="2"/>
  <c r="S19" i="2"/>
  <c r="AM19" i="2" s="1"/>
  <c r="S21" i="2"/>
  <c r="T19" i="2"/>
  <c r="AN19" i="2" s="1"/>
  <c r="T21" i="2"/>
  <c r="U19" i="2"/>
  <c r="U21" i="2"/>
  <c r="V19" i="2"/>
  <c r="V21" i="2"/>
  <c r="W19" i="2"/>
  <c r="W21" i="2"/>
  <c r="X19" i="2"/>
  <c r="X21" i="2"/>
  <c r="Y19" i="2"/>
  <c r="Y21" i="2"/>
  <c r="F19" i="2"/>
  <c r="F21" i="2"/>
  <c r="F16" i="2"/>
  <c r="F23" i="2" s="1"/>
  <c r="Z9" i="2"/>
  <c r="Z7" i="2"/>
  <c r="K23" i="2"/>
  <c r="K33" i="2" s="1"/>
  <c r="L17" i="2"/>
  <c r="W17" i="2"/>
  <c r="W23" i="2"/>
  <c r="W33" i="2" s="1"/>
  <c r="X17" i="2"/>
  <c r="X23" i="2"/>
  <c r="X33" i="2" s="1"/>
  <c r="Y17" i="2"/>
  <c r="Y23" i="2"/>
  <c r="Y33" i="2" s="1"/>
  <c r="AE10" i="2"/>
  <c r="AJ18" i="1"/>
  <c r="AK13" i="1"/>
  <c r="AK8" i="2" s="1"/>
  <c r="AF6" i="1"/>
  <c r="AF8" i="2"/>
  <c r="AK18" i="1"/>
  <c r="AK10" i="2" s="1"/>
  <c r="AF10" i="2"/>
  <c r="AI10" i="2"/>
  <c r="AN18" i="1"/>
  <c r="AN10" i="2" s="1"/>
  <c r="AG6" i="1"/>
  <c r="AG7" i="1" s="1"/>
  <c r="AL18" i="1"/>
  <c r="AG10" i="2"/>
  <c r="AC26" i="1"/>
  <c r="AC15" i="2" s="1"/>
  <c r="AD26" i="1"/>
  <c r="AD15" i="2" s="1"/>
  <c r="AD13" i="2"/>
  <c r="AD52" i="2" s="1"/>
  <c r="AJ13" i="1"/>
  <c r="AE8" i="2"/>
  <c r="H4" i="2"/>
  <c r="I3" i="2"/>
  <c r="AB7" i="1"/>
  <c r="AC7" i="1"/>
  <c r="AC25" i="1"/>
  <c r="AD7" i="1"/>
  <c r="AH6" i="1"/>
  <c r="AM8" i="1"/>
  <c r="AN8" i="1"/>
  <c r="AI6" i="1"/>
  <c r="AE8" i="1"/>
  <c r="Z6" i="1"/>
  <c r="I3" i="1"/>
  <c r="H4" i="1"/>
  <c r="AQ88" i="2" l="1"/>
  <c r="AQ109" i="2"/>
  <c r="AQ44" i="2"/>
  <c r="AP101" i="2"/>
  <c r="AA13" i="2"/>
  <c r="AA52" i="2" s="1"/>
  <c r="AF7" i="1"/>
  <c r="M17" i="2"/>
  <c r="AA7" i="1"/>
  <c r="AB26" i="1"/>
  <c r="N17" i="2"/>
  <c r="AK8" i="1"/>
  <c r="AA25" i="1"/>
  <c r="AD25" i="1"/>
  <c r="K34" i="2"/>
  <c r="W34" i="2"/>
  <c r="Y34" i="2"/>
  <c r="N34" i="2"/>
  <c r="L34" i="2"/>
  <c r="X34" i="2"/>
  <c r="M34" i="2"/>
  <c r="Z21" i="2"/>
  <c r="Z19" i="2"/>
  <c r="AE19" i="2" s="1"/>
  <c r="AJ19" i="2" s="1"/>
  <c r="P23" i="2"/>
  <c r="P33" i="2" s="1"/>
  <c r="O17" i="2"/>
  <c r="O23" i="2"/>
  <c r="Q17" i="2"/>
  <c r="Q23" i="2"/>
  <c r="R17" i="2"/>
  <c r="R23" i="2"/>
  <c r="S17" i="2"/>
  <c r="S23" i="2"/>
  <c r="T23" i="2"/>
  <c r="T33" i="2" s="1"/>
  <c r="T17" i="2"/>
  <c r="AE6" i="2"/>
  <c r="AJ8" i="1"/>
  <c r="AO8" i="1" s="1"/>
  <c r="AP8" i="1" s="1"/>
  <c r="AE6" i="1"/>
  <c r="AE13" i="2" s="1"/>
  <c r="AE52" i="2" s="1"/>
  <c r="U17" i="2"/>
  <c r="V17" i="2"/>
  <c r="V23" i="2"/>
  <c r="F30" i="2"/>
  <c r="F33" i="2"/>
  <c r="K24" i="2"/>
  <c r="K30" i="2"/>
  <c r="L24" i="2"/>
  <c r="L30" i="2"/>
  <c r="M24" i="2"/>
  <c r="M30" i="2"/>
  <c r="N24" i="2"/>
  <c r="N30" i="2"/>
  <c r="W24" i="2"/>
  <c r="W30" i="2"/>
  <c r="X24" i="2"/>
  <c r="X30" i="2"/>
  <c r="Y24" i="2"/>
  <c r="Y30" i="2"/>
  <c r="G23" i="2"/>
  <c r="G33" i="2" s="1"/>
  <c r="H23" i="2"/>
  <c r="H33" i="2" s="1"/>
  <c r="H17" i="2"/>
  <c r="I23" i="2"/>
  <c r="I33" i="2" s="1"/>
  <c r="I17" i="2"/>
  <c r="J23" i="2"/>
  <c r="J33" i="2" s="1"/>
  <c r="J17" i="2"/>
  <c r="F24" i="2"/>
  <c r="F17" i="2"/>
  <c r="AJ10" i="2"/>
  <c r="AO18" i="1"/>
  <c r="AO10" i="2" s="1"/>
  <c r="AF26" i="1"/>
  <c r="AF13" i="2"/>
  <c r="AF52" i="2" s="1"/>
  <c r="AG26" i="1"/>
  <c r="AG13" i="2"/>
  <c r="AG52" i="2" s="1"/>
  <c r="AL10" i="2"/>
  <c r="AL6" i="1"/>
  <c r="AB18" i="2"/>
  <c r="AB14" i="2"/>
  <c r="AC16" i="2"/>
  <c r="AC18" i="2"/>
  <c r="AC14" i="2"/>
  <c r="AD16" i="2"/>
  <c r="AD18" i="2"/>
  <c r="AD14" i="2"/>
  <c r="AJ8" i="2"/>
  <c r="AO13" i="1"/>
  <c r="AO8" i="2" s="1"/>
  <c r="AH13" i="2"/>
  <c r="AH52" i="2" s="1"/>
  <c r="AH26" i="1"/>
  <c r="AM6" i="1"/>
  <c r="AM7" i="1" s="1"/>
  <c r="AM6" i="2"/>
  <c r="AN6" i="1"/>
  <c r="AN7" i="1" s="1"/>
  <c r="AN6" i="2"/>
  <c r="AI13" i="2"/>
  <c r="AI52" i="2" s="1"/>
  <c r="AI26" i="1"/>
  <c r="AI15" i="2" s="1"/>
  <c r="Z13" i="2"/>
  <c r="Z52" i="2" s="1"/>
  <c r="Z26" i="1"/>
  <c r="J3" i="2"/>
  <c r="I4" i="2"/>
  <c r="Z7" i="1"/>
  <c r="AH7" i="1"/>
  <c r="AI7" i="1"/>
  <c r="I4" i="1"/>
  <c r="J3" i="1"/>
  <c r="P24" i="2" l="1"/>
  <c r="P30" i="2"/>
  <c r="AK21" i="2"/>
  <c r="AP21" i="2"/>
  <c r="AQ21" i="2"/>
  <c r="AR21" i="2"/>
  <c r="AO21" i="2"/>
  <c r="AA16" i="2"/>
  <c r="AA23" i="2" s="1"/>
  <c r="AL21" i="2"/>
  <c r="AR44" i="2"/>
  <c r="AR101" i="2" s="1"/>
  <c r="AQ101" i="2"/>
  <c r="AM21" i="2"/>
  <c r="AA14" i="2"/>
  <c r="AO19" i="2"/>
  <c r="AP19" i="2" s="1"/>
  <c r="AQ19" i="2" s="1"/>
  <c r="AR19" i="2" s="1"/>
  <c r="AA18" i="2"/>
  <c r="AP6" i="2"/>
  <c r="AQ8" i="1"/>
  <c r="AP6" i="1"/>
  <c r="P95" i="2"/>
  <c r="P93" i="2"/>
  <c r="F95" i="2"/>
  <c r="F93" i="2"/>
  <c r="K95" i="2"/>
  <c r="K93" i="2"/>
  <c r="AB15" i="2"/>
  <c r="AB16" i="2" s="1"/>
  <c r="AB23" i="2" s="1"/>
  <c r="AB25" i="1"/>
  <c r="M95" i="2"/>
  <c r="M93" i="2"/>
  <c r="W95" i="2"/>
  <c r="W93" i="2"/>
  <c r="L95" i="2"/>
  <c r="L93" i="2"/>
  <c r="Y95" i="2"/>
  <c r="Y93" i="2"/>
  <c r="N95" i="2"/>
  <c r="N93" i="2"/>
  <c r="X95" i="2"/>
  <c r="X93" i="2"/>
  <c r="AK6" i="2"/>
  <c r="AK6" i="1"/>
  <c r="AI25" i="1"/>
  <c r="I34" i="2"/>
  <c r="AN21" i="2"/>
  <c r="G34" i="2"/>
  <c r="AH21" i="2"/>
  <c r="AH20" i="2" s="1"/>
  <c r="AE21" i="2"/>
  <c r="AE20" i="2" s="1"/>
  <c r="AI21" i="2"/>
  <c r="AI20" i="2" s="1"/>
  <c r="AF21" i="2"/>
  <c r="F34" i="2"/>
  <c r="J34" i="2"/>
  <c r="T34" i="2"/>
  <c r="H34" i="2"/>
  <c r="AG21" i="2"/>
  <c r="AJ21" i="2"/>
  <c r="P34" i="2"/>
  <c r="T30" i="2"/>
  <c r="T35" i="2" s="1"/>
  <c r="T24" i="2"/>
  <c r="Z15" i="2"/>
  <c r="Z16" i="2" s="1"/>
  <c r="Z25" i="1"/>
  <c r="O33" i="2"/>
  <c r="O24" i="2"/>
  <c r="O30" i="2"/>
  <c r="Q33" i="2"/>
  <c r="Q24" i="2"/>
  <c r="Q30" i="2"/>
  <c r="R33" i="2"/>
  <c r="R24" i="2"/>
  <c r="R30" i="2"/>
  <c r="S33" i="2"/>
  <c r="S24" i="2"/>
  <c r="S30" i="2"/>
  <c r="AJ6" i="2"/>
  <c r="AO6" i="2"/>
  <c r="AJ6" i="1"/>
  <c r="AE26" i="1"/>
  <c r="AE7" i="1"/>
  <c r="U24" i="2"/>
  <c r="U30" i="2"/>
  <c r="U33" i="2"/>
  <c r="F35" i="2"/>
  <c r="F39" i="2" s="1"/>
  <c r="F31" i="2"/>
  <c r="V33" i="2"/>
  <c r="V24" i="2"/>
  <c r="V30" i="2"/>
  <c r="K31" i="2"/>
  <c r="K35" i="2"/>
  <c r="L31" i="2"/>
  <c r="L35" i="2"/>
  <c r="M31" i="2"/>
  <c r="M35" i="2"/>
  <c r="N31" i="2"/>
  <c r="N35" i="2"/>
  <c r="P31" i="2"/>
  <c r="P35" i="2"/>
  <c r="W31" i="2"/>
  <c r="W35" i="2"/>
  <c r="X31" i="2"/>
  <c r="X35" i="2"/>
  <c r="Y31" i="2"/>
  <c r="Y35" i="2"/>
  <c r="G24" i="2"/>
  <c r="G30" i="2"/>
  <c r="H24" i="2"/>
  <c r="H30" i="2"/>
  <c r="I24" i="2"/>
  <c r="I30" i="2"/>
  <c r="J24" i="2"/>
  <c r="J30" i="2"/>
  <c r="AF25" i="1"/>
  <c r="AF15" i="2"/>
  <c r="AF16" i="2" s="1"/>
  <c r="AF18" i="2"/>
  <c r="AF20" i="2"/>
  <c r="AF14" i="2"/>
  <c r="AG25" i="1"/>
  <c r="AG15" i="2"/>
  <c r="AG16" i="2" s="1"/>
  <c r="AG18" i="2"/>
  <c r="AG20" i="2"/>
  <c r="AG14" i="2"/>
  <c r="AL7" i="1"/>
  <c r="AL26" i="1"/>
  <c r="AL13" i="2"/>
  <c r="AL52" i="2" s="1"/>
  <c r="AC23" i="2"/>
  <c r="AC17" i="2"/>
  <c r="AD23" i="2"/>
  <c r="AD17" i="2"/>
  <c r="AH18" i="2"/>
  <c r="AH14" i="2"/>
  <c r="AM26" i="1"/>
  <c r="AM13" i="2"/>
  <c r="AM52" i="2" s="1"/>
  <c r="AN26" i="1"/>
  <c r="AN13" i="2"/>
  <c r="AN52" i="2" s="1"/>
  <c r="AI16" i="2"/>
  <c r="AI18" i="2"/>
  <c r="AI14" i="2"/>
  <c r="Z18" i="2"/>
  <c r="Z20" i="2"/>
  <c r="Z14" i="2"/>
  <c r="AE18" i="2"/>
  <c r="AE14" i="2"/>
  <c r="AH15" i="2"/>
  <c r="AH16" i="2" s="1"/>
  <c r="AH25" i="1"/>
  <c r="K3" i="2"/>
  <c r="J4" i="2"/>
  <c r="J4" i="1"/>
  <c r="K3" i="1"/>
  <c r="AA17" i="2" l="1"/>
  <c r="AP13" i="2"/>
  <c r="AP26" i="1"/>
  <c r="AR8" i="1"/>
  <c r="AQ6" i="2"/>
  <c r="AQ6" i="1"/>
  <c r="AB17" i="2"/>
  <c r="I95" i="2"/>
  <c r="I93" i="2"/>
  <c r="V95" i="2"/>
  <c r="V93" i="2"/>
  <c r="R31" i="2"/>
  <c r="R95" i="2"/>
  <c r="R93" i="2"/>
  <c r="Q31" i="2"/>
  <c r="Q95" i="2"/>
  <c r="Q93" i="2"/>
  <c r="G95" i="2"/>
  <c r="G93" i="2"/>
  <c r="T95" i="2"/>
  <c r="T93" i="2"/>
  <c r="T31" i="2"/>
  <c r="S35" i="2"/>
  <c r="S39" i="2" s="1"/>
  <c r="S95" i="2"/>
  <c r="S93" i="2"/>
  <c r="J95" i="2"/>
  <c r="J93" i="2"/>
  <c r="U95" i="2"/>
  <c r="O31" i="2"/>
  <c r="O95" i="2"/>
  <c r="O93" i="2"/>
  <c r="H95" i="2"/>
  <c r="H93" i="2"/>
  <c r="AK7" i="1"/>
  <c r="AK13" i="2"/>
  <c r="AK26" i="1"/>
  <c r="S34" i="2"/>
  <c r="O34" i="2"/>
  <c r="U34" i="2"/>
  <c r="Q35" i="2"/>
  <c r="Q36" i="2" s="1"/>
  <c r="Q34" i="2"/>
  <c r="V34" i="2"/>
  <c r="R34" i="2"/>
  <c r="R35" i="2"/>
  <c r="R39" i="2" s="1"/>
  <c r="O35" i="2"/>
  <c r="O36" i="2" s="1"/>
  <c r="S31" i="2"/>
  <c r="F36" i="2"/>
  <c r="K36" i="2"/>
  <c r="K39" i="2"/>
  <c r="L36" i="2"/>
  <c r="L39" i="2"/>
  <c r="M36" i="2"/>
  <c r="M39" i="2"/>
  <c r="N36" i="2"/>
  <c r="N39" i="2"/>
  <c r="P36" i="2"/>
  <c r="P39" i="2"/>
  <c r="T36" i="2"/>
  <c r="T39" i="2"/>
  <c r="W36" i="2"/>
  <c r="W39" i="2"/>
  <c r="X36" i="2"/>
  <c r="X39" i="2"/>
  <c r="Y36" i="2"/>
  <c r="Y39" i="2"/>
  <c r="AE25" i="1"/>
  <c r="AE15" i="2"/>
  <c r="AE16" i="2" s="1"/>
  <c r="AO6" i="1"/>
  <c r="AO7" i="1" s="1"/>
  <c r="AJ26" i="1"/>
  <c r="AJ7" i="1"/>
  <c r="AJ13" i="2"/>
  <c r="AJ52" i="2" s="1"/>
  <c r="U35" i="2"/>
  <c r="U31" i="2"/>
  <c r="V35" i="2"/>
  <c r="V31" i="2"/>
  <c r="G31" i="2"/>
  <c r="G35" i="2"/>
  <c r="H31" i="2"/>
  <c r="H35" i="2"/>
  <c r="I31" i="2"/>
  <c r="I35" i="2"/>
  <c r="J31" i="2"/>
  <c r="J35" i="2"/>
  <c r="AA24" i="2"/>
  <c r="AA30" i="2"/>
  <c r="AB24" i="2"/>
  <c r="AB30" i="2"/>
  <c r="AC24" i="2"/>
  <c r="AC30" i="2"/>
  <c r="AD24" i="2"/>
  <c r="AD30" i="2"/>
  <c r="Z23" i="2"/>
  <c r="Z17" i="2"/>
  <c r="AF23" i="2"/>
  <c r="AF17" i="2"/>
  <c r="AG23" i="2"/>
  <c r="AG17" i="2"/>
  <c r="AL18" i="2"/>
  <c r="AL20" i="2"/>
  <c r="AL14" i="2"/>
  <c r="AH23" i="2"/>
  <c r="AH17" i="2"/>
  <c r="AM25" i="1"/>
  <c r="AM15" i="2"/>
  <c r="AM16" i="2" s="1"/>
  <c r="AM18" i="2"/>
  <c r="AM20" i="2"/>
  <c r="AM14" i="2"/>
  <c r="AN25" i="1"/>
  <c r="AN15" i="2"/>
  <c r="AN16" i="2" s="1"/>
  <c r="AN18" i="2"/>
  <c r="AN20" i="2"/>
  <c r="AN14" i="2"/>
  <c r="AI23" i="2"/>
  <c r="AI17" i="2"/>
  <c r="AL15" i="2"/>
  <c r="AL16" i="2" s="1"/>
  <c r="AL25" i="1"/>
  <c r="K4" i="2"/>
  <c r="L3" i="2"/>
  <c r="L3" i="1"/>
  <c r="K4" i="1"/>
  <c r="S36" i="2" l="1"/>
  <c r="Q39" i="2"/>
  <c r="AQ26" i="1"/>
  <c r="AQ13" i="2"/>
  <c r="AQ7" i="1"/>
  <c r="AR6" i="2"/>
  <c r="AR6" i="1"/>
  <c r="AP25" i="1"/>
  <c r="AP15" i="2"/>
  <c r="AP16" i="2" s="1"/>
  <c r="AP18" i="2"/>
  <c r="AP52" i="2"/>
  <c r="AP20" i="2"/>
  <c r="AP7" i="1"/>
  <c r="R36" i="2"/>
  <c r="AK15" i="2"/>
  <c r="AK16" i="2" s="1"/>
  <c r="AK25" i="1"/>
  <c r="AK52" i="2"/>
  <c r="AK14" i="2"/>
  <c r="AK18" i="2"/>
  <c r="AK20" i="2"/>
  <c r="O39" i="2"/>
  <c r="O41" i="2" s="1"/>
  <c r="O107" i="2" s="1"/>
  <c r="O97" i="2" s="1"/>
  <c r="F42" i="2"/>
  <c r="F41" i="2"/>
  <c r="F107" i="2" s="1"/>
  <c r="F97" i="2" s="1"/>
  <c r="K42" i="2"/>
  <c r="K41" i="2"/>
  <c r="K107" i="2" s="1"/>
  <c r="K97" i="2" s="1"/>
  <c r="L42" i="2"/>
  <c r="L41" i="2"/>
  <c r="L107" i="2" s="1"/>
  <c r="L97" i="2" s="1"/>
  <c r="M42" i="2"/>
  <c r="M41" i="2"/>
  <c r="M107" i="2" s="1"/>
  <c r="M97" i="2" s="1"/>
  <c r="N42" i="2"/>
  <c r="N41" i="2"/>
  <c r="N107" i="2" s="1"/>
  <c r="N97" i="2" s="1"/>
  <c r="P42" i="2"/>
  <c r="P41" i="2"/>
  <c r="P107" i="2" s="1"/>
  <c r="P97" i="2" s="1"/>
  <c r="Q42" i="2"/>
  <c r="Q41" i="2"/>
  <c r="Q107" i="2" s="1"/>
  <c r="Q97" i="2" s="1"/>
  <c r="R42" i="2"/>
  <c r="R41" i="2"/>
  <c r="R107" i="2" s="1"/>
  <c r="R97" i="2" s="1"/>
  <c r="S42" i="2"/>
  <c r="S41" i="2"/>
  <c r="S107" i="2" s="1"/>
  <c r="S97" i="2" s="1"/>
  <c r="T42" i="2"/>
  <c r="T41" i="2"/>
  <c r="T107" i="2" s="1"/>
  <c r="T97" i="2" s="1"/>
  <c r="W41" i="2"/>
  <c r="W107" i="2" s="1"/>
  <c r="W97" i="2" s="1"/>
  <c r="W42" i="2"/>
  <c r="W98" i="2" s="1"/>
  <c r="X42" i="2"/>
  <c r="X98" i="2" s="1"/>
  <c r="X41" i="2"/>
  <c r="X107" i="2" s="1"/>
  <c r="X97" i="2" s="1"/>
  <c r="Y41" i="2"/>
  <c r="Y107" i="2" s="1"/>
  <c r="Y97" i="2" s="1"/>
  <c r="Y42" i="2"/>
  <c r="Y98" i="2" s="1"/>
  <c r="U36" i="2"/>
  <c r="U39" i="2"/>
  <c r="V36" i="2"/>
  <c r="V39" i="2"/>
  <c r="G36" i="2"/>
  <c r="G39" i="2"/>
  <c r="H36" i="2"/>
  <c r="H39" i="2"/>
  <c r="I36" i="2"/>
  <c r="I39" i="2"/>
  <c r="J36" i="2"/>
  <c r="J39" i="2"/>
  <c r="AE23" i="2"/>
  <c r="AE17" i="2"/>
  <c r="AO26" i="1"/>
  <c r="AO13" i="2"/>
  <c r="AJ15" i="2"/>
  <c r="AJ16" i="2" s="1"/>
  <c r="AJ25" i="1"/>
  <c r="AJ20" i="2"/>
  <c r="AJ14" i="2"/>
  <c r="AJ18" i="2"/>
  <c r="AA31" i="2"/>
  <c r="AA35" i="2"/>
  <c r="AA33" i="2"/>
  <c r="AB31" i="2"/>
  <c r="AB35" i="2"/>
  <c r="AB33" i="2"/>
  <c r="AC31" i="2"/>
  <c r="AC35" i="2"/>
  <c r="AC33" i="2"/>
  <c r="AD31" i="2"/>
  <c r="AD35" i="2"/>
  <c r="AD33" i="2"/>
  <c r="Z30" i="2"/>
  <c r="Z24" i="2"/>
  <c r="AF24" i="2"/>
  <c r="AF30" i="2"/>
  <c r="AG24" i="2"/>
  <c r="AG30" i="2"/>
  <c r="AH24" i="2"/>
  <c r="AH30" i="2"/>
  <c r="AI24" i="2"/>
  <c r="AI30" i="2"/>
  <c r="AL23" i="2"/>
  <c r="AL17" i="2"/>
  <c r="AM23" i="2"/>
  <c r="AM17" i="2"/>
  <c r="AN23" i="2"/>
  <c r="AN17" i="2"/>
  <c r="L4" i="2"/>
  <c r="M3" i="2"/>
  <c r="M3" i="1"/>
  <c r="L4" i="1"/>
  <c r="AP17" i="2" l="1"/>
  <c r="AP23" i="2"/>
  <c r="AO18" i="2"/>
  <c r="AO52" i="2"/>
  <c r="AQ20" i="2"/>
  <c r="AQ52" i="2"/>
  <c r="AQ14" i="2"/>
  <c r="AQ18" i="2"/>
  <c r="AR26" i="1"/>
  <c r="AR13" i="2"/>
  <c r="AR7" i="1"/>
  <c r="AP14" i="2"/>
  <c r="AQ25" i="1"/>
  <c r="AQ15" i="2"/>
  <c r="AQ16" i="2" s="1"/>
  <c r="M99" i="2"/>
  <c r="M98" i="2"/>
  <c r="S99" i="2"/>
  <c r="S98" i="2"/>
  <c r="O42" i="2"/>
  <c r="K98" i="2"/>
  <c r="K99" i="2"/>
  <c r="T99" i="2"/>
  <c r="T98" i="2"/>
  <c r="P98" i="2"/>
  <c r="P99" i="2"/>
  <c r="Q99" i="2"/>
  <c r="Q98" i="2"/>
  <c r="L99" i="2"/>
  <c r="L98" i="2"/>
  <c r="R99" i="2"/>
  <c r="R98" i="2"/>
  <c r="N99" i="2"/>
  <c r="N98" i="2"/>
  <c r="F50" i="2"/>
  <c r="F56" i="2" s="1"/>
  <c r="F58" i="2" s="1"/>
  <c r="F98" i="2"/>
  <c r="F99" i="2"/>
  <c r="AK23" i="2"/>
  <c r="AK17" i="2"/>
  <c r="AA34" i="2"/>
  <c r="AC34" i="2"/>
  <c r="AD34" i="2"/>
  <c r="AB34" i="2"/>
  <c r="F64" i="2"/>
  <c r="F59" i="2"/>
  <c r="F66" i="2"/>
  <c r="F67" i="2" s="1"/>
  <c r="F94" i="2" s="1"/>
  <c r="K50" i="2"/>
  <c r="K56" i="2" s="1"/>
  <c r="K58" i="2" s="1"/>
  <c r="K46" i="2"/>
  <c r="K92" i="2" s="1"/>
  <c r="L50" i="2"/>
  <c r="L56" i="2" s="1"/>
  <c r="L58" i="2" s="1"/>
  <c r="L46" i="2"/>
  <c r="M50" i="2"/>
  <c r="M56" i="2" s="1"/>
  <c r="M58" i="2" s="1"/>
  <c r="M46" i="2"/>
  <c r="N46" i="2"/>
  <c r="N50" i="2"/>
  <c r="N56" i="2" s="1"/>
  <c r="N58" i="2" s="1"/>
  <c r="O50" i="2"/>
  <c r="O56" i="2" s="1"/>
  <c r="O58" i="2" s="1"/>
  <c r="P46" i="2"/>
  <c r="P92" i="2" s="1"/>
  <c r="P50" i="2"/>
  <c r="P56" i="2" s="1"/>
  <c r="P58" i="2" s="1"/>
  <c r="P66" i="2" s="1"/>
  <c r="Q46" i="2"/>
  <c r="Q50" i="2"/>
  <c r="Q56" i="2" s="1"/>
  <c r="Q58" i="2" s="1"/>
  <c r="R46" i="2"/>
  <c r="R50" i="2"/>
  <c r="R56" i="2" s="1"/>
  <c r="R58" i="2" s="1"/>
  <c r="S50" i="2"/>
  <c r="S56" i="2" s="1"/>
  <c r="S58" i="2" s="1"/>
  <c r="S46" i="2"/>
  <c r="T50" i="2"/>
  <c r="T56" i="2" s="1"/>
  <c r="T58" i="2" s="1"/>
  <c r="T46" i="2"/>
  <c r="W50" i="2"/>
  <c r="W56" i="2" s="1"/>
  <c r="W58" i="2" s="1"/>
  <c r="W46" i="2"/>
  <c r="X50" i="2"/>
  <c r="X56" i="2" s="1"/>
  <c r="X58" i="2" s="1"/>
  <c r="X46" i="2"/>
  <c r="Y50" i="2"/>
  <c r="Y56" i="2" s="1"/>
  <c r="Y58" i="2" s="1"/>
  <c r="Y46" i="2"/>
  <c r="F43" i="2"/>
  <c r="F46" i="2"/>
  <c r="F92" i="2" s="1"/>
  <c r="K43" i="2"/>
  <c r="L43" i="2"/>
  <c r="M43" i="2"/>
  <c r="N43" i="2"/>
  <c r="O43" i="2"/>
  <c r="P43" i="2"/>
  <c r="Q43" i="2"/>
  <c r="R43" i="2"/>
  <c r="S43" i="2"/>
  <c r="T43" i="2"/>
  <c r="W43" i="2"/>
  <c r="X43" i="2"/>
  <c r="Y43" i="2"/>
  <c r="U42" i="2"/>
  <c r="U41" i="2"/>
  <c r="U107" i="2" s="1"/>
  <c r="U97" i="2" s="1"/>
  <c r="V41" i="2"/>
  <c r="V107" i="2" s="1"/>
  <c r="V97" i="2" s="1"/>
  <c r="V42" i="2"/>
  <c r="V98" i="2" s="1"/>
  <c r="G42" i="2"/>
  <c r="G41" i="2"/>
  <c r="G107" i="2" s="1"/>
  <c r="G97" i="2" s="1"/>
  <c r="H42" i="2"/>
  <c r="H41" i="2"/>
  <c r="H107" i="2" s="1"/>
  <c r="H97" i="2" s="1"/>
  <c r="I42" i="2"/>
  <c r="I41" i="2"/>
  <c r="I107" i="2" s="1"/>
  <c r="I97" i="2" s="1"/>
  <c r="J42" i="2"/>
  <c r="J41" i="2"/>
  <c r="J107" i="2" s="1"/>
  <c r="J97" i="2" s="1"/>
  <c r="AE30" i="2"/>
  <c r="AE33" i="2" s="1"/>
  <c r="AE24" i="2"/>
  <c r="AO15" i="2"/>
  <c r="AO16" i="2" s="1"/>
  <c r="AO25" i="1"/>
  <c r="AO14" i="2"/>
  <c r="AO20" i="2"/>
  <c r="AJ23" i="2"/>
  <c r="AJ17" i="2"/>
  <c r="AA36" i="2"/>
  <c r="AA39" i="2"/>
  <c r="AB36" i="2"/>
  <c r="AB39" i="2"/>
  <c r="AC36" i="2"/>
  <c r="AC39" i="2"/>
  <c r="AD36" i="2"/>
  <c r="AD39" i="2"/>
  <c r="Z31" i="2"/>
  <c r="L5" i="4" s="1"/>
  <c r="Z35" i="2"/>
  <c r="Z39" i="2" s="1"/>
  <c r="Z33" i="2"/>
  <c r="AF31" i="2"/>
  <c r="AF35" i="2"/>
  <c r="AF33" i="2"/>
  <c r="AG31" i="2"/>
  <c r="AG35" i="2"/>
  <c r="AG33" i="2"/>
  <c r="AH31" i="2"/>
  <c r="AH35" i="2"/>
  <c r="AH33" i="2"/>
  <c r="AI31" i="2"/>
  <c r="AI35" i="2"/>
  <c r="AI33" i="2"/>
  <c r="AL24" i="2"/>
  <c r="AL30" i="2"/>
  <c r="AM24" i="2"/>
  <c r="AM30" i="2"/>
  <c r="AN24" i="2"/>
  <c r="AN30" i="2"/>
  <c r="N3" i="2"/>
  <c r="M4" i="2"/>
  <c r="N3" i="1"/>
  <c r="M4" i="1"/>
  <c r="AQ23" i="2" l="1"/>
  <c r="AQ17" i="2"/>
  <c r="AO23" i="2"/>
  <c r="AR14" i="2"/>
  <c r="AR20" i="2"/>
  <c r="AR52" i="2"/>
  <c r="AR18" i="2"/>
  <c r="L9" i="4"/>
  <c r="L10" i="4"/>
  <c r="AR25" i="1"/>
  <c r="AR15" i="2"/>
  <c r="AR16" i="2" s="1"/>
  <c r="AP30" i="2"/>
  <c r="AP24" i="2"/>
  <c r="G99" i="2"/>
  <c r="G98" i="2"/>
  <c r="H99" i="2"/>
  <c r="H98" i="2"/>
  <c r="J99" i="2"/>
  <c r="J98" i="2"/>
  <c r="O99" i="2"/>
  <c r="O98" i="2"/>
  <c r="I99" i="2"/>
  <c r="I98" i="2"/>
  <c r="U98" i="2"/>
  <c r="U99" i="2"/>
  <c r="O46" i="2"/>
  <c r="O92" i="2" s="1"/>
  <c r="AK24" i="2"/>
  <c r="AK30" i="2"/>
  <c r="AF34" i="2"/>
  <c r="AH34" i="2"/>
  <c r="AI34" i="2"/>
  <c r="AG34" i="2"/>
  <c r="Z34" i="2"/>
  <c r="AE34" i="2"/>
  <c r="W59" i="2"/>
  <c r="W66" i="2"/>
  <c r="W67" i="2" s="1"/>
  <c r="W94" i="2" s="1"/>
  <c r="W64" i="2"/>
  <c r="Q47" i="2"/>
  <c r="Q92" i="2"/>
  <c r="M66" i="2"/>
  <c r="M67" i="2" s="1"/>
  <c r="M94" i="2" s="1"/>
  <c r="M64" i="2"/>
  <c r="M59" i="2"/>
  <c r="T47" i="2"/>
  <c r="T92" i="2"/>
  <c r="P59" i="2"/>
  <c r="P67" i="2"/>
  <c r="P94" i="2" s="1"/>
  <c r="P64" i="2"/>
  <c r="L92" i="2"/>
  <c r="L66" i="2"/>
  <c r="L67" i="2" s="1"/>
  <c r="L94" i="2" s="1"/>
  <c r="L64" i="2"/>
  <c r="L59" i="2"/>
  <c r="Y47" i="2"/>
  <c r="Y92" i="2"/>
  <c r="S66" i="2"/>
  <c r="S67" i="2" s="1"/>
  <c r="S94" i="2" s="1"/>
  <c r="S64" i="2"/>
  <c r="S59" i="2"/>
  <c r="X47" i="2"/>
  <c r="X92" i="2"/>
  <c r="R64" i="2"/>
  <c r="R59" i="2"/>
  <c r="R66" i="2"/>
  <c r="R67" i="2" s="1"/>
  <c r="R94" i="2" s="1"/>
  <c r="N66" i="2"/>
  <c r="N67" i="2" s="1"/>
  <c r="N94" i="2" s="1"/>
  <c r="N64" i="2"/>
  <c r="N59" i="2"/>
  <c r="T66" i="2"/>
  <c r="T67" i="2" s="1"/>
  <c r="T94" i="2" s="1"/>
  <c r="T64" i="2"/>
  <c r="T59" i="2"/>
  <c r="S47" i="2"/>
  <c r="S92" i="2"/>
  <c r="Y64" i="2"/>
  <c r="Y59" i="2"/>
  <c r="Y66" i="2"/>
  <c r="Y67" i="2" s="1"/>
  <c r="Y94" i="2" s="1"/>
  <c r="O59" i="2"/>
  <c r="O66" i="2"/>
  <c r="O67" i="2" s="1"/>
  <c r="O94" i="2" s="1"/>
  <c r="O64" i="2"/>
  <c r="X59" i="2"/>
  <c r="X66" i="2"/>
  <c r="X67" i="2" s="1"/>
  <c r="X94" i="2" s="1"/>
  <c r="X64" i="2"/>
  <c r="R47" i="2"/>
  <c r="R92" i="2"/>
  <c r="N92" i="2"/>
  <c r="P47" i="2"/>
  <c r="K47" i="2"/>
  <c r="K66" i="2"/>
  <c r="K67" i="2" s="1"/>
  <c r="K94" i="2" s="1"/>
  <c r="K59" i="2"/>
  <c r="K64" i="2"/>
  <c r="W47" i="2"/>
  <c r="W92" i="2"/>
  <c r="Q64" i="2"/>
  <c r="Q59" i="2"/>
  <c r="Q66" i="2"/>
  <c r="Q67" i="2" s="1"/>
  <c r="Q94" i="2" s="1"/>
  <c r="M92" i="2"/>
  <c r="U46" i="2"/>
  <c r="U50" i="2"/>
  <c r="U56" i="2" s="1"/>
  <c r="U58" i="2" s="1"/>
  <c r="U66" i="2" s="1"/>
  <c r="V46" i="2"/>
  <c r="V50" i="2"/>
  <c r="V56" i="2" s="1"/>
  <c r="V58" i="2" s="1"/>
  <c r="G50" i="2"/>
  <c r="G56" i="2" s="1"/>
  <c r="G58" i="2" s="1"/>
  <c r="G46" i="2"/>
  <c r="G92" i="2" s="1"/>
  <c r="H46" i="2"/>
  <c r="H92" i="2" s="1"/>
  <c r="H50" i="2"/>
  <c r="H56" i="2" s="1"/>
  <c r="H58" i="2" s="1"/>
  <c r="I50" i="2"/>
  <c r="I56" i="2" s="1"/>
  <c r="I58" i="2" s="1"/>
  <c r="I46" i="2"/>
  <c r="I92" i="2" s="1"/>
  <c r="J46" i="2"/>
  <c r="J92" i="2" s="1"/>
  <c r="J50" i="2"/>
  <c r="J56" i="2" s="1"/>
  <c r="J58" i="2" s="1"/>
  <c r="U43" i="2"/>
  <c r="V43" i="2"/>
  <c r="G43" i="2"/>
  <c r="H43" i="2"/>
  <c r="I43" i="2"/>
  <c r="J43" i="2"/>
  <c r="AE31" i="2"/>
  <c r="AE35" i="2"/>
  <c r="AE36" i="2" s="1"/>
  <c r="AO17" i="2"/>
  <c r="AJ24" i="2"/>
  <c r="AJ30" i="2"/>
  <c r="AA40" i="2"/>
  <c r="AB40" i="2"/>
  <c r="AC40" i="2"/>
  <c r="AD40" i="2"/>
  <c r="Z36" i="2"/>
  <c r="AF36" i="2"/>
  <c r="AF39" i="2"/>
  <c r="AG36" i="2"/>
  <c r="AG39" i="2"/>
  <c r="AH36" i="2"/>
  <c r="AH39" i="2"/>
  <c r="AI36" i="2"/>
  <c r="AI39" i="2"/>
  <c r="AL31" i="2"/>
  <c r="AL35" i="2"/>
  <c r="AL33" i="2"/>
  <c r="AM31" i="2"/>
  <c r="AM35" i="2"/>
  <c r="AM33" i="2"/>
  <c r="AN31" i="2"/>
  <c r="AN35" i="2"/>
  <c r="AN33" i="2"/>
  <c r="N4" i="2"/>
  <c r="O3" i="2"/>
  <c r="O3" i="1"/>
  <c r="N4" i="1"/>
  <c r="AR23" i="2" l="1"/>
  <c r="AR17" i="2"/>
  <c r="AP35" i="2"/>
  <c r="AP31" i="2"/>
  <c r="AP33" i="2"/>
  <c r="AQ30" i="2"/>
  <c r="AQ24" i="2"/>
  <c r="L47" i="2"/>
  <c r="AK31" i="2"/>
  <c r="AK35" i="2"/>
  <c r="AK33" i="2"/>
  <c r="AK34" i="2" s="1"/>
  <c r="AN34" i="2"/>
  <c r="O47" i="2"/>
  <c r="AM34" i="2"/>
  <c r="AL34" i="2"/>
  <c r="J64" i="2"/>
  <c r="J59" i="2"/>
  <c r="J66" i="2"/>
  <c r="J67" i="2" s="1"/>
  <c r="J94" i="2" s="1"/>
  <c r="V47" i="2"/>
  <c r="V92" i="2"/>
  <c r="U67" i="2"/>
  <c r="U94" i="2" s="1"/>
  <c r="U64" i="2"/>
  <c r="U59" i="2"/>
  <c r="N47" i="2"/>
  <c r="AE39" i="2"/>
  <c r="AE40" i="2" s="1"/>
  <c r="I64" i="2"/>
  <c r="I59" i="2"/>
  <c r="I66" i="2"/>
  <c r="I67" i="2" s="1"/>
  <c r="I94" i="2" s="1"/>
  <c r="U47" i="2"/>
  <c r="U92" i="2"/>
  <c r="M47" i="2"/>
  <c r="G59" i="2"/>
  <c r="G66" i="2"/>
  <c r="G67" i="2" s="1"/>
  <c r="G94" i="2" s="1"/>
  <c r="G64" i="2"/>
  <c r="V66" i="2"/>
  <c r="V67" i="2" s="1"/>
  <c r="V94" i="2" s="1"/>
  <c r="V64" i="2"/>
  <c r="V59" i="2"/>
  <c r="H59" i="2"/>
  <c r="H66" i="2"/>
  <c r="H67" i="2" s="1"/>
  <c r="H94" i="2" s="1"/>
  <c r="H64" i="2"/>
  <c r="AD41" i="2"/>
  <c r="AD107" i="2" s="1"/>
  <c r="AD97" i="2" s="1"/>
  <c r="AD42" i="2"/>
  <c r="AB41" i="2"/>
  <c r="AB107" i="2" s="1"/>
  <c r="AB97" i="2" s="1"/>
  <c r="AB42" i="2"/>
  <c r="AJ31" i="2"/>
  <c r="AJ35" i="2"/>
  <c r="AJ33" i="2"/>
  <c r="AO24" i="2"/>
  <c r="AO30" i="2"/>
  <c r="AO35" i="2" s="1"/>
  <c r="AO39" i="2" s="1"/>
  <c r="AC41" i="2"/>
  <c r="AC107" i="2" s="1"/>
  <c r="AC97" i="2" s="1"/>
  <c r="AC42" i="2"/>
  <c r="AC98" i="2" s="1"/>
  <c r="Z40" i="2"/>
  <c r="AF40" i="2"/>
  <c r="AG40" i="2"/>
  <c r="AH40" i="2"/>
  <c r="AH41" i="2" s="1"/>
  <c r="AH107" i="2" s="1"/>
  <c r="AH97" i="2" s="1"/>
  <c r="AI40" i="2"/>
  <c r="AA41" i="2"/>
  <c r="AA107" i="2" s="1"/>
  <c r="AA97" i="2" s="1"/>
  <c r="AA42" i="2"/>
  <c r="AA98" i="2" s="1"/>
  <c r="AL36" i="2"/>
  <c r="AL39" i="2"/>
  <c r="AM36" i="2"/>
  <c r="AM39" i="2"/>
  <c r="AN36" i="2"/>
  <c r="AN39" i="2"/>
  <c r="P3" i="2"/>
  <c r="O4" i="2"/>
  <c r="O4" i="1"/>
  <c r="P3" i="1"/>
  <c r="AP34" i="2" l="1"/>
  <c r="AP39" i="2"/>
  <c r="AP36" i="2"/>
  <c r="AQ33" i="2"/>
  <c r="AQ35" i="2"/>
  <c r="AQ31" i="2"/>
  <c r="AR30" i="2"/>
  <c r="AR24" i="2"/>
  <c r="AK39" i="2"/>
  <c r="AK40" i="2" s="1"/>
  <c r="AK36" i="2"/>
  <c r="AH42" i="2"/>
  <c r="AH98" i="2" s="1"/>
  <c r="AD43" i="2"/>
  <c r="AD98" i="2"/>
  <c r="AD46" i="2"/>
  <c r="AD47" i="2" s="1"/>
  <c r="AO33" i="2"/>
  <c r="AO34" i="2" s="1"/>
  <c r="AD50" i="2"/>
  <c r="AD56" i="2" s="1"/>
  <c r="AD58" i="2" s="1"/>
  <c r="AD59" i="2" s="1"/>
  <c r="AB43" i="2"/>
  <c r="AB98" i="2"/>
  <c r="AJ34" i="2"/>
  <c r="AO31" i="2"/>
  <c r="AJ36" i="2"/>
  <c r="AJ39" i="2"/>
  <c r="AJ40" i="2" s="1"/>
  <c r="AB50" i="2"/>
  <c r="AB56" i="2" s="1"/>
  <c r="AB58" i="2" s="1"/>
  <c r="AB46" i="2"/>
  <c r="AB47" i="2" s="1"/>
  <c r="AC50" i="2"/>
  <c r="AC56" i="2" s="1"/>
  <c r="AC58" i="2" s="1"/>
  <c r="AC46" i="2"/>
  <c r="AC47" i="2" s="1"/>
  <c r="AH46" i="2"/>
  <c r="AA50" i="2"/>
  <c r="AA56" i="2" s="1"/>
  <c r="AA58" i="2" s="1"/>
  <c r="AA46" i="2"/>
  <c r="AA47" i="2" s="1"/>
  <c r="AC43" i="2"/>
  <c r="AG41" i="2"/>
  <c r="AG107" i="2" s="1"/>
  <c r="AG97" i="2" s="1"/>
  <c r="AG42" i="2"/>
  <c r="AG98" i="2" s="1"/>
  <c r="AA43" i="2"/>
  <c r="Z41" i="2"/>
  <c r="Z107" i="2" s="1"/>
  <c r="Z42" i="2"/>
  <c r="Z98" i="2" s="1"/>
  <c r="AE41" i="2"/>
  <c r="AE107" i="2" s="1"/>
  <c r="AE97" i="2" s="1"/>
  <c r="AE42" i="2"/>
  <c r="AE98" i="2" s="1"/>
  <c r="AK41" i="2"/>
  <c r="AK107" i="2" s="1"/>
  <c r="AK97" i="2" s="1"/>
  <c r="AK42" i="2"/>
  <c r="AK98" i="2" s="1"/>
  <c r="AI41" i="2"/>
  <c r="AI107" i="2" s="1"/>
  <c r="AI97" i="2" s="1"/>
  <c r="AI42" i="2"/>
  <c r="AI98" i="2" s="1"/>
  <c r="AL40" i="2"/>
  <c r="AM40" i="2"/>
  <c r="AN40" i="2"/>
  <c r="AF41" i="2"/>
  <c r="AF107" i="2" s="1"/>
  <c r="AF97" i="2" s="1"/>
  <c r="AF42" i="2"/>
  <c r="AF98" i="2" s="1"/>
  <c r="Q3" i="2"/>
  <c r="P4" i="2"/>
  <c r="P4" i="1"/>
  <c r="Q3" i="1"/>
  <c r="AQ36" i="2" l="1"/>
  <c r="AQ39" i="2"/>
  <c r="AR33" i="2"/>
  <c r="AR35" i="2"/>
  <c r="AR31" i="2"/>
  <c r="AQ34" i="2"/>
  <c r="AP40" i="2"/>
  <c r="AP41" i="2" s="1"/>
  <c r="AP107" i="2" s="1"/>
  <c r="AP97" i="2" s="1"/>
  <c r="AD92" i="2"/>
  <c r="AH43" i="2"/>
  <c r="AD64" i="2"/>
  <c r="AD70" i="2" s="1"/>
  <c r="AD102" i="2" s="1"/>
  <c r="AD66" i="2"/>
  <c r="AD67" i="2" s="1"/>
  <c r="AD94" i="2" s="1"/>
  <c r="AH50" i="2"/>
  <c r="AH56" i="2" s="1"/>
  <c r="AH58" i="2" s="1"/>
  <c r="AH59" i="2" s="1"/>
  <c r="AD95" i="2"/>
  <c r="AD103" i="2"/>
  <c r="AD75" i="2"/>
  <c r="AD81" i="2" s="1"/>
  <c r="AD90" i="2" s="1"/>
  <c r="AH92" i="2"/>
  <c r="AH47" i="2"/>
  <c r="AO36" i="2"/>
  <c r="AO40" i="2"/>
  <c r="AM41" i="2"/>
  <c r="AM107" i="2" s="1"/>
  <c r="AM97" i="2" s="1"/>
  <c r="AM42" i="2"/>
  <c r="AB92" i="2"/>
  <c r="AC92" i="2"/>
  <c r="AA92" i="2"/>
  <c r="AJ41" i="2"/>
  <c r="AJ107" i="2" s="1"/>
  <c r="AJ97" i="2" s="1"/>
  <c r="AJ42" i="2"/>
  <c r="AJ98" i="2" s="1"/>
  <c r="AB59" i="2"/>
  <c r="AB66" i="2"/>
  <c r="AB67" i="2" s="1"/>
  <c r="AB94" i="2" s="1"/>
  <c r="AB64" i="2"/>
  <c r="AB70" i="2" s="1"/>
  <c r="AB102" i="2" s="1"/>
  <c r="AC59" i="2"/>
  <c r="AC66" i="2"/>
  <c r="AC67" i="2" s="1"/>
  <c r="AC94" i="2" s="1"/>
  <c r="AC64" i="2"/>
  <c r="AC70" i="2" s="1"/>
  <c r="AC102" i="2" s="1"/>
  <c r="AA59" i="2"/>
  <c r="AA66" i="2"/>
  <c r="AA67" i="2" s="1"/>
  <c r="AA94" i="2" s="1"/>
  <c r="AA64" i="2"/>
  <c r="AA70" i="2" s="1"/>
  <c r="AA102" i="2" s="1"/>
  <c r="AG50" i="2"/>
  <c r="AG56" i="2" s="1"/>
  <c r="AG58" i="2" s="1"/>
  <c r="AG46" i="2"/>
  <c r="AG47" i="2" s="1"/>
  <c r="Z46" i="2"/>
  <c r="Z47" i="2" s="1"/>
  <c r="Z50" i="2"/>
  <c r="Z56" i="2" s="1"/>
  <c r="Z58" i="2" s="1"/>
  <c r="AE46" i="2"/>
  <c r="AE50" i="2"/>
  <c r="AE56" i="2" s="1"/>
  <c r="AE58" i="2" s="1"/>
  <c r="AK50" i="2"/>
  <c r="AK56" i="2" s="1"/>
  <c r="AK58" i="2" s="1"/>
  <c r="AK46" i="2"/>
  <c r="AI50" i="2"/>
  <c r="AI56" i="2" s="1"/>
  <c r="AI58" i="2" s="1"/>
  <c r="AI46" i="2"/>
  <c r="AI47" i="2" s="1"/>
  <c r="AF46" i="2"/>
  <c r="AF47" i="2" s="1"/>
  <c r="AF50" i="2"/>
  <c r="AF56" i="2" s="1"/>
  <c r="AF58" i="2" s="1"/>
  <c r="AG43" i="2"/>
  <c r="Z43" i="2"/>
  <c r="AE43" i="2"/>
  <c r="AK43" i="2"/>
  <c r="AI43" i="2"/>
  <c r="AF43" i="2"/>
  <c r="AL41" i="2"/>
  <c r="AL107" i="2" s="1"/>
  <c r="AL97" i="2" s="1"/>
  <c r="AL42" i="2"/>
  <c r="AL98" i="2" s="1"/>
  <c r="AN41" i="2"/>
  <c r="AN107" i="2" s="1"/>
  <c r="AN97" i="2" s="1"/>
  <c r="AN42" i="2"/>
  <c r="AN98" i="2" s="1"/>
  <c r="R3" i="2"/>
  <c r="Q4" i="2"/>
  <c r="Q4" i="1"/>
  <c r="R3" i="1"/>
  <c r="AR36" i="2" l="1"/>
  <c r="AR39" i="2"/>
  <c r="AR34" i="2"/>
  <c r="AQ40" i="2"/>
  <c r="AQ41" i="2" s="1"/>
  <c r="AQ107" i="2" s="1"/>
  <c r="AQ97" i="2" s="1"/>
  <c r="AQ42" i="2"/>
  <c r="AP42" i="2"/>
  <c r="AH64" i="2"/>
  <c r="AH70" i="2" s="1"/>
  <c r="AH102" i="2" s="1"/>
  <c r="AH66" i="2"/>
  <c r="AH67" i="2" s="1"/>
  <c r="AH94" i="2" s="1"/>
  <c r="AA95" i="2"/>
  <c r="AA103" i="2"/>
  <c r="AD96" i="2"/>
  <c r="AD93" i="2"/>
  <c r="AC95" i="2"/>
  <c r="AC103" i="2"/>
  <c r="AB95" i="2"/>
  <c r="AB103" i="2"/>
  <c r="AM46" i="2"/>
  <c r="AM47" i="2" s="1"/>
  <c r="AM98" i="2"/>
  <c r="AC75" i="2"/>
  <c r="AC81" i="2" s="1"/>
  <c r="AC90" i="2" s="1"/>
  <c r="AB75" i="2"/>
  <c r="AB81" i="2" s="1"/>
  <c r="AB90" i="2" s="1"/>
  <c r="AA75" i="2"/>
  <c r="AA81" i="2" s="1"/>
  <c r="AA90" i="2" s="1"/>
  <c r="AE92" i="2"/>
  <c r="AE47" i="2"/>
  <c r="AK92" i="2"/>
  <c r="AK47" i="2"/>
  <c r="AJ43" i="2"/>
  <c r="AJ46" i="2"/>
  <c r="AJ47" i="2" s="1"/>
  <c r="AJ50" i="2"/>
  <c r="AJ56" i="2" s="1"/>
  <c r="AJ58" i="2" s="1"/>
  <c r="AM43" i="2"/>
  <c r="AM50" i="2"/>
  <c r="AM56" i="2" s="1"/>
  <c r="AM58" i="2" s="1"/>
  <c r="AM66" i="2" s="1"/>
  <c r="AM67" i="2" s="1"/>
  <c r="AM94" i="2" s="1"/>
  <c r="AG92" i="2"/>
  <c r="Z92" i="2"/>
  <c r="K5" i="4" s="1"/>
  <c r="AI92" i="2"/>
  <c r="AM92" i="2"/>
  <c r="AF92" i="2"/>
  <c r="AO41" i="2"/>
  <c r="AO107" i="2" s="1"/>
  <c r="AO97" i="2" s="1"/>
  <c r="AO42" i="2"/>
  <c r="AG59" i="2"/>
  <c r="AG66" i="2"/>
  <c r="AG67" i="2" s="1"/>
  <c r="AG94" i="2" s="1"/>
  <c r="AG64" i="2"/>
  <c r="AG70" i="2" s="1"/>
  <c r="AG102" i="2" s="1"/>
  <c r="Z59" i="2"/>
  <c r="Z66" i="2"/>
  <c r="Z67" i="2" s="1"/>
  <c r="Z94" i="2" s="1"/>
  <c r="Z64" i="2"/>
  <c r="Z70" i="2" s="1"/>
  <c r="AE59" i="2"/>
  <c r="AE66" i="2"/>
  <c r="AE67" i="2" s="1"/>
  <c r="AE94" i="2" s="1"/>
  <c r="AE64" i="2"/>
  <c r="AK59" i="2"/>
  <c r="AK66" i="2"/>
  <c r="AK67" i="2" s="1"/>
  <c r="AK94" i="2" s="1"/>
  <c r="AK64" i="2"/>
  <c r="AI59" i="2"/>
  <c r="AI66" i="2"/>
  <c r="AI67" i="2" s="1"/>
  <c r="AI94" i="2" s="1"/>
  <c r="AI64" i="2"/>
  <c r="AI70" i="2" s="1"/>
  <c r="AI102" i="2" s="1"/>
  <c r="AF59" i="2"/>
  <c r="AF66" i="2"/>
  <c r="AF67" i="2" s="1"/>
  <c r="AF94" i="2" s="1"/>
  <c r="AF64" i="2"/>
  <c r="AF70" i="2" s="1"/>
  <c r="AF102" i="2" s="1"/>
  <c r="AL46" i="2"/>
  <c r="AL47" i="2" s="1"/>
  <c r="AL50" i="2"/>
  <c r="AL56" i="2" s="1"/>
  <c r="AL58" i="2" s="1"/>
  <c r="AN46" i="2"/>
  <c r="AN47" i="2" s="1"/>
  <c r="AN50" i="2"/>
  <c r="AN56" i="2" s="1"/>
  <c r="AN58" i="2" s="1"/>
  <c r="AL43" i="2"/>
  <c r="AN43" i="2"/>
  <c r="R4" i="2"/>
  <c r="S3" i="2"/>
  <c r="R4" i="1"/>
  <c r="S3" i="1"/>
  <c r="AP50" i="2" l="1"/>
  <c r="AP56" i="2" s="1"/>
  <c r="AP58" i="2" s="1"/>
  <c r="AP46" i="2"/>
  <c r="AP43" i="2"/>
  <c r="AP98" i="2"/>
  <c r="AQ43" i="2"/>
  <c r="AQ50" i="2"/>
  <c r="AQ56" i="2" s="1"/>
  <c r="AQ58" i="2" s="1"/>
  <c r="AQ46" i="2"/>
  <c r="AQ98" i="2"/>
  <c r="K10" i="4"/>
  <c r="K9" i="4"/>
  <c r="AR40" i="2"/>
  <c r="AR41" i="2" s="1"/>
  <c r="AR107" i="2" s="1"/>
  <c r="AR97" i="2" s="1"/>
  <c r="AR42" i="2"/>
  <c r="AJ92" i="2"/>
  <c r="AM59" i="2"/>
  <c r="AB93" i="2"/>
  <c r="AB96" i="2"/>
  <c r="AC96" i="2"/>
  <c r="AC93" i="2"/>
  <c r="AH95" i="2"/>
  <c r="AH103" i="2"/>
  <c r="AO43" i="2"/>
  <c r="AO98" i="2"/>
  <c r="AI95" i="2"/>
  <c r="AI103" i="2"/>
  <c r="AM64" i="2"/>
  <c r="AM70" i="2" s="1"/>
  <c r="AA93" i="2"/>
  <c r="AA96" i="2"/>
  <c r="AF95" i="2"/>
  <c r="AF103" i="2"/>
  <c r="AG95" i="2"/>
  <c r="AG103" i="2"/>
  <c r="AD99" i="2"/>
  <c r="AG75" i="2"/>
  <c r="AG81" i="2" s="1"/>
  <c r="AG90" i="2" s="1"/>
  <c r="AI75" i="2"/>
  <c r="AI81" i="2" s="1"/>
  <c r="AI90" i="2" s="1"/>
  <c r="AE70" i="2"/>
  <c r="AE102" i="2" s="1"/>
  <c r="Z75" i="2"/>
  <c r="Z81" i="2" s="1"/>
  <c r="AK70" i="2"/>
  <c r="AF75" i="2"/>
  <c r="AF81" i="2" s="1"/>
  <c r="AF90" i="2" s="1"/>
  <c r="AH75" i="2"/>
  <c r="AH81" i="2" s="1"/>
  <c r="AH90" i="2" s="1"/>
  <c r="AJ59" i="2"/>
  <c r="AJ66" i="2"/>
  <c r="AJ67" i="2" s="1"/>
  <c r="AJ94" i="2" s="1"/>
  <c r="AJ64" i="2"/>
  <c r="AO50" i="2"/>
  <c r="AO56" i="2" s="1"/>
  <c r="AO58" i="2" s="1"/>
  <c r="AO59" i="2" s="1"/>
  <c r="AO46" i="2"/>
  <c r="AL92" i="2"/>
  <c r="AN92" i="2"/>
  <c r="AL59" i="2"/>
  <c r="AL66" i="2"/>
  <c r="AL67" i="2" s="1"/>
  <c r="AL94" i="2" s="1"/>
  <c r="AL64" i="2"/>
  <c r="AL70" i="2" s="1"/>
  <c r="AN59" i="2"/>
  <c r="AN66" i="2"/>
  <c r="AN67" i="2" s="1"/>
  <c r="AN94" i="2" s="1"/>
  <c r="AN64" i="2"/>
  <c r="AN70" i="2" s="1"/>
  <c r="T3" i="2"/>
  <c r="S4" i="2"/>
  <c r="T3" i="1"/>
  <c r="S4" i="1"/>
  <c r="AQ92" i="2" l="1"/>
  <c r="AQ47" i="2"/>
  <c r="AO92" i="2"/>
  <c r="AO47" i="2"/>
  <c r="AP92" i="2"/>
  <c r="AP47" i="2"/>
  <c r="AQ64" i="2"/>
  <c r="AQ59" i="2"/>
  <c r="AQ66" i="2"/>
  <c r="AQ67" i="2" s="1"/>
  <c r="AQ94" i="2" s="1"/>
  <c r="AR43" i="2"/>
  <c r="AR50" i="2"/>
  <c r="AR56" i="2" s="1"/>
  <c r="AR58" i="2" s="1"/>
  <c r="AR98" i="2"/>
  <c r="AR46" i="2"/>
  <c r="AP59" i="2"/>
  <c r="AP66" i="2"/>
  <c r="AP67" i="2" s="1"/>
  <c r="AP94" i="2" s="1"/>
  <c r="AP64" i="2"/>
  <c r="AO64" i="2"/>
  <c r="AM75" i="2"/>
  <c r="AM81" i="2" s="1"/>
  <c r="AM90" i="2" s="1"/>
  <c r="AM102" i="2"/>
  <c r="AN75" i="2"/>
  <c r="AN81" i="2" s="1"/>
  <c r="AN90" i="2" s="1"/>
  <c r="AN102" i="2"/>
  <c r="AK75" i="2"/>
  <c r="AK81" i="2" s="1"/>
  <c r="AK90" i="2" s="1"/>
  <c r="AK102" i="2"/>
  <c r="AH93" i="2"/>
  <c r="AH96" i="2"/>
  <c r="AI93" i="2"/>
  <c r="AI96" i="2"/>
  <c r="AF96" i="2"/>
  <c r="AF93" i="2"/>
  <c r="AE95" i="2"/>
  <c r="AE103" i="2"/>
  <c r="AL75" i="2"/>
  <c r="AL81" i="2" s="1"/>
  <c r="AL90" i="2" s="1"/>
  <c r="AL102" i="2"/>
  <c r="AG96" i="2"/>
  <c r="AG93" i="2"/>
  <c r="Z99" i="2"/>
  <c r="V81" i="2"/>
  <c r="V90" i="2" s="1"/>
  <c r="X81" i="2"/>
  <c r="X90" i="2" s="1"/>
  <c r="W81" i="2"/>
  <c r="W90" i="2" s="1"/>
  <c r="Y81" i="2"/>
  <c r="Y90" i="2" s="1"/>
  <c r="AA99" i="2"/>
  <c r="AB99" i="2"/>
  <c r="AC99" i="2"/>
  <c r="AJ70" i="2"/>
  <c r="AE75" i="2"/>
  <c r="AE81" i="2" s="1"/>
  <c r="AE90" i="2" s="1"/>
  <c r="AO66" i="2"/>
  <c r="AO67" i="2" s="1"/>
  <c r="AO94" i="2" s="1"/>
  <c r="U3" i="2"/>
  <c r="T4" i="2"/>
  <c r="T4" i="1"/>
  <c r="U3" i="1"/>
  <c r="AR92" i="2" l="1"/>
  <c r="AR47" i="2"/>
  <c r="AR64" i="2"/>
  <c r="AR59" i="2"/>
  <c r="AR66" i="2"/>
  <c r="AR67" i="2" s="1"/>
  <c r="AR94" i="2" s="1"/>
  <c r="AJ102" i="2"/>
  <c r="AO70" i="2"/>
  <c r="AP70" i="2" s="1"/>
  <c r="AN95" i="2"/>
  <c r="AN103" i="2"/>
  <c r="AL95" i="2"/>
  <c r="AL103" i="2"/>
  <c r="AM95" i="2"/>
  <c r="AM103" i="2"/>
  <c r="AE96" i="2"/>
  <c r="AE93" i="2"/>
  <c r="AK95" i="2"/>
  <c r="AK103" i="2"/>
  <c r="AN99" i="2"/>
  <c r="AL99" i="2"/>
  <c r="AK99" i="2"/>
  <c r="AM99" i="2"/>
  <c r="AI99" i="2"/>
  <c r="AF99" i="2"/>
  <c r="AG99" i="2"/>
  <c r="AH99" i="2"/>
  <c r="Y99" i="2"/>
  <c r="X99" i="2"/>
  <c r="W99" i="2"/>
  <c r="V99" i="2"/>
  <c r="AJ75" i="2"/>
  <c r="AJ81" i="2" s="1"/>
  <c r="AJ90" i="2" s="1"/>
  <c r="V3" i="2"/>
  <c r="U4" i="2"/>
  <c r="U4" i="1"/>
  <c r="V3" i="1"/>
  <c r="AJ95" i="2" l="1"/>
  <c r="AQ70" i="2"/>
  <c r="AP75" i="2"/>
  <c r="AP81" i="2" s="1"/>
  <c r="AP102" i="2"/>
  <c r="AJ103" i="2"/>
  <c r="AJ93" i="2" s="1"/>
  <c r="AO102" i="2"/>
  <c r="AO103" i="2" s="1"/>
  <c r="AO93" i="2" s="1"/>
  <c r="AO75" i="2"/>
  <c r="AO81" i="2" s="1"/>
  <c r="AO90" i="2" s="1"/>
  <c r="AM93" i="2"/>
  <c r="AM96" i="2"/>
  <c r="AL93" i="2"/>
  <c r="AL96" i="2"/>
  <c r="AK93" i="2"/>
  <c r="AK96" i="2"/>
  <c r="AN96" i="2"/>
  <c r="AN93" i="2"/>
  <c r="AE99" i="2"/>
  <c r="W3" i="2"/>
  <c r="V4" i="2"/>
  <c r="V4" i="1"/>
  <c r="W3" i="1"/>
  <c r="AJ96" i="2" l="1"/>
  <c r="AP95" i="2"/>
  <c r="AP103" i="2"/>
  <c r="AP90" i="2"/>
  <c r="AP99" i="2"/>
  <c r="AR70" i="2"/>
  <c r="AQ102" i="2"/>
  <c r="AQ75" i="2"/>
  <c r="AQ81" i="2" s="1"/>
  <c r="AO95" i="2"/>
  <c r="AO99" i="2"/>
  <c r="AJ99" i="2"/>
  <c r="X3" i="2"/>
  <c r="W4" i="2"/>
  <c r="W4" i="1"/>
  <c r="X3" i="1"/>
  <c r="AQ99" i="2" l="1"/>
  <c r="AQ90" i="2"/>
  <c r="AR102" i="2"/>
  <c r="AR75" i="2"/>
  <c r="AR81" i="2" s="1"/>
  <c r="AQ103" i="2"/>
  <c r="AQ95" i="2"/>
  <c r="AP96" i="2"/>
  <c r="AP93" i="2"/>
  <c r="AO96" i="2"/>
  <c r="Y3" i="2"/>
  <c r="X4" i="2"/>
  <c r="X4" i="1"/>
  <c r="Y3" i="1"/>
  <c r="AR90" i="2" l="1"/>
  <c r="AR99" i="2"/>
  <c r="AQ93" i="2"/>
  <c r="AQ96" i="2"/>
  <c r="AR95" i="2"/>
  <c r="AR103" i="2"/>
  <c r="Z3" i="2"/>
  <c r="Y4" i="2"/>
  <c r="Y4" i="1"/>
  <c r="Z3" i="1"/>
  <c r="AR93" i="2" l="1"/>
  <c r="AR96" i="2"/>
  <c r="AA3" i="2"/>
  <c r="Z4" i="2"/>
  <c r="Z4" i="1"/>
  <c r="AA3" i="1"/>
  <c r="AB3" i="2" l="1"/>
  <c r="AA4" i="2"/>
  <c r="AA4" i="1"/>
  <c r="AB3" i="1"/>
  <c r="AC3" i="2" l="1"/>
  <c r="AB4" i="2"/>
  <c r="AC3" i="1"/>
  <c r="AB4" i="1"/>
  <c r="AD3" i="2" l="1"/>
  <c r="AE3" i="2" s="1"/>
  <c r="AC4" i="2"/>
  <c r="AD3" i="1"/>
  <c r="AC4" i="1"/>
  <c r="AD4" i="2" l="1"/>
  <c r="AE3" i="1"/>
  <c r="AD4" i="1"/>
  <c r="AE4" i="2" l="1"/>
  <c r="AF3" i="2"/>
  <c r="AF3" i="1"/>
  <c r="AE4" i="1"/>
  <c r="AG3" i="2" l="1"/>
  <c r="AF4" i="2"/>
  <c r="AF4" i="1"/>
  <c r="AG3" i="1"/>
  <c r="AG4" i="2" l="1"/>
  <c r="AH3" i="2"/>
  <c r="AH3" i="1"/>
  <c r="AG4" i="1"/>
  <c r="AI3" i="2" l="1"/>
  <c r="AJ3" i="2" s="1"/>
  <c r="AH4" i="2"/>
  <c r="AI3" i="1"/>
  <c r="AH4" i="1"/>
  <c r="AI4" i="2" l="1"/>
  <c r="AJ3" i="1"/>
  <c r="AI4" i="1"/>
  <c r="AK3" i="2" l="1"/>
  <c r="AJ4" i="2"/>
  <c r="AK3" i="1"/>
  <c r="AJ4" i="1"/>
  <c r="AL3" i="2" l="1"/>
  <c r="AM3" i="2" s="1"/>
  <c r="AN3" i="2" s="1"/>
  <c r="AO3" i="2" s="1"/>
  <c r="AO4" i="2" s="1"/>
  <c r="AK4" i="2"/>
  <c r="AK4" i="1"/>
  <c r="AL3" i="1"/>
  <c r="AL4" i="2" l="1"/>
  <c r="AM3" i="1"/>
  <c r="AL4" i="1"/>
  <c r="AM4" i="2" l="1"/>
  <c r="AN3" i="1"/>
  <c r="AM4" i="1"/>
  <c r="AN4" i="2" l="1"/>
  <c r="AO3" i="1"/>
  <c r="AO4" i="1" s="1"/>
  <c r="AN4" i="1"/>
  <c r="Z102" i="2" l="1"/>
  <c r="Z95" i="2" s="1"/>
  <c r="Z109" i="2"/>
  <c r="Z97" i="2" s="1"/>
  <c r="M5" i="4" s="1"/>
  <c r="Z88" i="2"/>
  <c r="Z90" i="2" s="1"/>
  <c r="M9" i="4" l="1"/>
  <c r="M10" i="4"/>
  <c r="Z103" i="2"/>
  <c r="Z96" i="2" l="1"/>
  <c r="Z93" i="2"/>
  <c r="J5" i="4" s="1"/>
  <c r="J10" i="4" l="1"/>
  <c r="J9" i="4"/>
</calcChain>
</file>

<file path=xl/sharedStrings.xml><?xml version="1.0" encoding="utf-8"?>
<sst xmlns="http://schemas.openxmlformats.org/spreadsheetml/2006/main" count="183" uniqueCount="150">
  <si>
    <t>Revenue Build</t>
  </si>
  <si>
    <t>Revenue &amp; Operations</t>
  </si>
  <si>
    <t>Bausch + Lomb</t>
  </si>
  <si>
    <t>$millions</t>
  </si>
  <si>
    <t>Total Revenues</t>
  </si>
  <si>
    <t>Vision Care Revenue</t>
  </si>
  <si>
    <t xml:space="preserve">      Base Case</t>
  </si>
  <si>
    <t xml:space="preserve">      Bear Case</t>
  </si>
  <si>
    <t xml:space="preserve">      Bull Case</t>
  </si>
  <si>
    <t xml:space="preserve">       Comp YoY</t>
  </si>
  <si>
    <t>Pharmaceutial Revenue</t>
  </si>
  <si>
    <t>Surgical Revenue</t>
  </si>
  <si>
    <t>-</t>
  </si>
  <si>
    <t>COGS Build</t>
  </si>
  <si>
    <t>Total Cost of Goods Sold</t>
  </si>
  <si>
    <t>Scenario</t>
  </si>
  <si>
    <t>Cost of Good Sold (Operating Cost)</t>
  </si>
  <si>
    <t xml:space="preserve">  Gross Margin %</t>
  </si>
  <si>
    <t xml:space="preserve">  Total Comp YoY</t>
  </si>
  <si>
    <t>1 = Base</t>
  </si>
  <si>
    <t>2 = Bear</t>
  </si>
  <si>
    <t>3 = Bull</t>
  </si>
  <si>
    <t>Author</t>
  </si>
  <si>
    <t>Ticker</t>
  </si>
  <si>
    <t>Current Price</t>
  </si>
  <si>
    <t>Model Summary</t>
  </si>
  <si>
    <t>Bausch + Lomb (BCLO)</t>
  </si>
  <si>
    <t>$ Million</t>
  </si>
  <si>
    <t>Key Perfomormance Indicators</t>
  </si>
  <si>
    <t>Owen Purnomo</t>
  </si>
  <si>
    <t>BCLO</t>
  </si>
  <si>
    <t xml:space="preserve">  Comp YoY</t>
  </si>
  <si>
    <t>Income Statement</t>
  </si>
  <si>
    <t>Revenues</t>
  </si>
  <si>
    <t xml:space="preserve">   YoY Growth</t>
  </si>
  <si>
    <t>Cost of Sales</t>
  </si>
  <si>
    <t>Gross Profit</t>
  </si>
  <si>
    <t xml:space="preserve">   Gross Margin %</t>
  </si>
  <si>
    <t xml:space="preserve">   As % of Sales</t>
  </si>
  <si>
    <t xml:space="preserve">      As % of Sales</t>
  </si>
  <si>
    <t>EBITDA</t>
  </si>
  <si>
    <t xml:space="preserve">   Margin %</t>
  </si>
  <si>
    <t>Depreciation &amp; Amortization</t>
  </si>
  <si>
    <t>EBIT</t>
  </si>
  <si>
    <t>Interest Expense, net</t>
  </si>
  <si>
    <t xml:space="preserve">   As % of Beg Cash</t>
  </si>
  <si>
    <t>Earnings Before Tax</t>
  </si>
  <si>
    <t>Income Tax</t>
  </si>
  <si>
    <t xml:space="preserve">   Tax Rate %</t>
  </si>
  <si>
    <t>Net Income</t>
  </si>
  <si>
    <t xml:space="preserve">   Net Margin %</t>
  </si>
  <si>
    <t>Diluted Shares Outstanding</t>
  </si>
  <si>
    <t>SG&amp;A</t>
  </si>
  <si>
    <t>R&amp;D Expense</t>
  </si>
  <si>
    <t>Other Expenses</t>
  </si>
  <si>
    <t>Adjusted EBITDA</t>
  </si>
  <si>
    <t xml:space="preserve">  Margin %</t>
  </si>
  <si>
    <t>Adjusted EBIT</t>
  </si>
  <si>
    <t>Asset Impairments</t>
  </si>
  <si>
    <t>Restructuring</t>
  </si>
  <si>
    <t>Goodwill Impairments</t>
  </si>
  <si>
    <t>Other Adjustments (Non-Recurring)</t>
  </si>
  <si>
    <t>Total Add-backs</t>
  </si>
  <si>
    <t>EPS - Diluted</t>
  </si>
  <si>
    <t>Cash Flow Statement</t>
  </si>
  <si>
    <t xml:space="preserve">   Stock Based Compensation</t>
  </si>
  <si>
    <t xml:space="preserve">   Δ Working Capital</t>
  </si>
  <si>
    <t xml:space="preserve">   Other</t>
  </si>
  <si>
    <t>Cash Flow from Operations (CFO)</t>
  </si>
  <si>
    <t>Capital Expenditures</t>
  </si>
  <si>
    <t>Free Cash Flow (FCF)</t>
  </si>
  <si>
    <t xml:space="preserve">   Conversion %</t>
  </si>
  <si>
    <t>Stock Issuance/(Repurchases)</t>
  </si>
  <si>
    <t>Dividends Paid</t>
  </si>
  <si>
    <t>Other Financing Activities</t>
  </si>
  <si>
    <t>Foreign Exchange</t>
  </si>
  <si>
    <t>Net Change in Cash</t>
  </si>
  <si>
    <t>FCF per Share</t>
  </si>
  <si>
    <t xml:space="preserve">   FCF Yield</t>
  </si>
  <si>
    <t>Balance Sheet</t>
  </si>
  <si>
    <t>Current Assets</t>
  </si>
  <si>
    <t>Total Assets</t>
  </si>
  <si>
    <t>Current Liabilities</t>
  </si>
  <si>
    <t>Total Liabilities</t>
  </si>
  <si>
    <t>Total Equity</t>
  </si>
  <si>
    <t>Valuation</t>
  </si>
  <si>
    <t>P/E</t>
  </si>
  <si>
    <t>EV/EBITDA</t>
  </si>
  <si>
    <t>FCF Yield %</t>
  </si>
  <si>
    <t>Net Debt/EBITDA</t>
  </si>
  <si>
    <t>ROIC</t>
  </si>
  <si>
    <t>ROE</t>
  </si>
  <si>
    <t>ROA</t>
  </si>
  <si>
    <t>Closing Price</t>
  </si>
  <si>
    <t>Net Income/Loss</t>
  </si>
  <si>
    <t xml:space="preserve">   Depreciation &amp; Amortization</t>
  </si>
  <si>
    <t xml:space="preserve">  As % of Sales</t>
  </si>
  <si>
    <t>Market Cap</t>
  </si>
  <si>
    <t>Net Debt</t>
  </si>
  <si>
    <t>Enterprise Value</t>
  </si>
  <si>
    <t>Open</t>
  </si>
  <si>
    <t>High</t>
  </si>
  <si>
    <t>Low</t>
  </si>
  <si>
    <t>Close</t>
  </si>
  <si>
    <t>Volume</t>
  </si>
  <si>
    <t>Date</t>
  </si>
  <si>
    <t>BLCO</t>
  </si>
  <si>
    <t xml:space="preserve"> Deffered Taxes &amp; Other Liabilities</t>
  </si>
  <si>
    <t xml:space="preserve"> Long Term Liabilities</t>
  </si>
  <si>
    <t>Supplementals</t>
  </si>
  <si>
    <t>NOPAT</t>
  </si>
  <si>
    <t>Working Capital</t>
  </si>
  <si>
    <t>Invested Capital</t>
  </si>
  <si>
    <t>EV/Revenue</t>
  </si>
  <si>
    <t xml:space="preserve">  Cash &amp; Equivalents</t>
  </si>
  <si>
    <t xml:space="preserve">  Restricted Cash</t>
  </si>
  <si>
    <t xml:space="preserve">  Receivables</t>
  </si>
  <si>
    <t xml:space="preserve">  Inventory</t>
  </si>
  <si>
    <t xml:space="preserve">  Prepaid &amp; Other Assets</t>
  </si>
  <si>
    <t xml:space="preserve">  Property, Plant, Equipment</t>
  </si>
  <si>
    <t xml:space="preserve">  Intangible Assets </t>
  </si>
  <si>
    <t xml:space="preserve">  Goodwil</t>
  </si>
  <si>
    <t xml:space="preserve">  Deffered Tax Assets</t>
  </si>
  <si>
    <t xml:space="preserve">  Non Current Assets</t>
  </si>
  <si>
    <t xml:space="preserve">  Accounts Payable</t>
  </si>
  <si>
    <t xml:space="preserve">  Accrued Liabilities</t>
  </si>
  <si>
    <t xml:space="preserve">  Other Current Liabilities</t>
  </si>
  <si>
    <t xml:space="preserve">  Balance Check</t>
  </si>
  <si>
    <t>Average</t>
  </si>
  <si>
    <t>Median</t>
  </si>
  <si>
    <t>Company Info</t>
  </si>
  <si>
    <t>Stock Returns</t>
  </si>
  <si>
    <t>NTM Valuation</t>
  </si>
  <si>
    <t>Profitability</t>
  </si>
  <si>
    <t>Name</t>
  </si>
  <si>
    <t>Price</t>
  </si>
  <si>
    <t>Mcap ($m)</t>
  </si>
  <si>
    <t>EV ($m)</t>
  </si>
  <si>
    <t>1-Year</t>
  </si>
  <si>
    <t>YTD</t>
  </si>
  <si>
    <t>EBITDA Margin</t>
  </si>
  <si>
    <t>Industry Comparables</t>
  </si>
  <si>
    <t>Alcon</t>
  </si>
  <si>
    <t>ALC</t>
  </si>
  <si>
    <t>The Cooper Companies</t>
  </si>
  <si>
    <t>COO</t>
  </si>
  <si>
    <t>Staar Surgical</t>
  </si>
  <si>
    <t>STAA</t>
  </si>
  <si>
    <t>6-Month</t>
  </si>
  <si>
    <t>EV/ Adjusted EBITDA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</si>
</sst>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7" formatCode="&quot;$&quot;#,##0.00_);\(&quot;$&quot;#,##0.00\)"/>
    <numFmt numFmtId="8" formatCode="&quot;$&quot;#,##0.00_);[Red]\(&quot;$&quot;#,##0.00\)"/>
    <numFmt numFmtId="43" formatCode="_(* #,##0.00_);_(* \(#,##0.00\);_(* &quot;-&quot;??_);_(@_)"/>
    <numFmt numFmtId="164" formatCode="[$-409]mmm\-yy"/>
    <numFmt numFmtId="165" formatCode="#,##0.0_);\(#,##0.0\)"/>
    <numFmt numFmtId="166" formatCode="_(* #,##0_);_(* \(#,##0\);_(* &quot;-&quot;??_);_(@_)"/>
    <numFmt numFmtId="167" formatCode="_(* #,##0.0_);_(* \(#,##0.0\);_(* &quot;-&quot;??_);_(@_)"/>
    <numFmt numFmtId="168" formatCode="0.0\x"/>
    <numFmt numFmtId="169" formatCode="0.0%"/>
    <numFmt numFmtId="170" formatCode="\$#,##0.00"/>
    <numFmt numFmtId="171" formatCode="[Green]0.0%;[Red]\(0.0%\);&quot;-&quot;"/>
    <numFmt numFmtId="172" formatCode="0.0"/>
    <numFmt numFmtId="173" formatCode="&quot;$&quot;#,##0"/>
    <numFmt numFmtId="174" formatCode="&quot;$&quot;#,##0.0_);\(&quot;$&quot;#,##0.0\)"/>
  </numFmts>
  <fonts count="2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Bookman Old Style"/>
      <family val="1"/>
    </font>
    <font>
      <b/>
      <sz val="12"/>
      <color theme="0"/>
      <name val="Bookman Old Style"/>
      <family val="1"/>
    </font>
    <font>
      <sz val="12"/>
      <color theme="3" tint="0.249977111117893"/>
      <name val="Bookman Old Style"/>
      <family val="1"/>
    </font>
    <font>
      <sz val="12"/>
      <color theme="0"/>
      <name val="Bookman Old Style"/>
      <family val="1"/>
    </font>
    <font>
      <b/>
      <sz val="12"/>
      <color theme="1"/>
      <name val="Bookman Old Style"/>
      <family val="1"/>
    </font>
    <font>
      <i/>
      <sz val="12"/>
      <color theme="1"/>
      <name val="Bookman Old Style"/>
      <family val="1"/>
    </font>
    <font>
      <sz val="12"/>
      <color rgb="FF0070C0"/>
      <name val="Bookman Old Style"/>
      <family val="1"/>
    </font>
    <font>
      <sz val="12"/>
      <color rgb="FF215C98"/>
      <name val="Bookman Old Style"/>
      <family val="1"/>
    </font>
    <font>
      <sz val="12"/>
      <color rgb="FFC00000"/>
      <name val="Bookman Old Style"/>
      <family val="1"/>
    </font>
    <font>
      <sz val="12"/>
      <color rgb="FFFF0000"/>
      <name val="Bookman Old Style"/>
      <family val="1"/>
    </font>
    <font>
      <sz val="12"/>
      <color rgb="FF00B050"/>
      <name val="Bookman Old Style"/>
      <family val="1"/>
    </font>
    <font>
      <sz val="12"/>
      <color theme="9"/>
      <name val="Bookman Old Style"/>
      <family val="1"/>
    </font>
    <font>
      <b/>
      <sz val="12"/>
      <color rgb="FF000000"/>
      <name val="Bookman Old Style"/>
      <family val="1"/>
    </font>
    <font>
      <sz val="12"/>
      <color rgb="FF000000"/>
      <name val="Bookman Old Style"/>
      <family val="1"/>
    </font>
    <font>
      <i/>
      <sz val="12"/>
      <color rgb="FF000000"/>
      <name val="Bookman Old Style"/>
      <family val="1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Bookman Old Style"/>
      <family val="1"/>
    </font>
    <font>
      <b/>
      <sz val="9"/>
      <color theme="1"/>
      <name val="Bookman Old Style"/>
      <family val="1"/>
    </font>
    <font>
      <sz val="12"/>
      <color rgb="FF0000FF"/>
      <name val="Bookman Old Style"/>
      <family val="1"/>
    </font>
    <font>
      <b/>
      <sz val="12"/>
      <color theme="1"/>
      <name val="Aptos Narrow"/>
      <scheme val="minor"/>
    </font>
    <font>
      <sz val="12"/>
      <name val="Bookman Old Style"/>
      <family val="1"/>
    </font>
    <font>
      <i/>
      <sz val="12"/>
      <color rgb="FFC00000"/>
      <name val="Bookman Old Style"/>
      <family val="1"/>
    </font>
    <font>
      <b/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F7E5B7"/>
        <bgColor rgb="FFF7E5B7"/>
      </patternFill>
    </fill>
    <fill>
      <patternFill patternType="solid">
        <fgColor rgb="FFF7E6B7"/>
        <bgColor indexed="64"/>
      </patternFill>
    </fill>
    <fill>
      <patternFill patternType="solid">
        <fgColor rgb="FFF7E6B7"/>
        <bgColor rgb="FFF7E5B7"/>
      </patternFill>
    </fill>
    <fill>
      <patternFill patternType="solid">
        <fgColor rgb="FF0094AA"/>
        <bgColor indexed="64"/>
      </patternFill>
    </fill>
    <fill>
      <patternFill patternType="solid">
        <fgColor rgb="FF0094AA"/>
        <bgColor rgb="FF014C99"/>
      </patternFill>
    </fill>
    <fill>
      <patternFill patternType="solid">
        <fgColor rgb="FF0094AA"/>
        <bgColor rgb="FF501549"/>
      </patternFill>
    </fill>
    <fill>
      <patternFill patternType="solid">
        <fgColor theme="3" tint="0.499984740745262"/>
        <bgColor rgb="FF78206E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rgb="FFF1CEEE"/>
      </patternFill>
    </fill>
    <fill>
      <patternFill patternType="solid">
        <fgColor theme="4" tint="0.7999816888943144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dotted">
        <color rgb="FF000000"/>
      </top>
      <bottom style="dotted">
        <color rgb="FF000000"/>
      </bottom>
      <diagonal/>
    </border>
    <border>
      <left/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9">
    <xf numFmtId="0" fontId="0" fillId="0" borderId="0" xfId="0"/>
    <xf numFmtId="43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8" fontId="2" fillId="0" borderId="0" xfId="0" applyNumberFormat="1" applyFont="1" applyAlignment="1">
      <alignment horizontal="left" vertic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/>
    <xf numFmtId="0" fontId="6" fillId="0" borderId="7" xfId="0" applyFont="1" applyBorder="1"/>
    <xf numFmtId="166" fontId="6" fillId="0" borderId="0" xfId="1" applyNumberFormat="1" applyFont="1" applyBorder="1"/>
    <xf numFmtId="166" fontId="6" fillId="0" borderId="8" xfId="1" applyNumberFormat="1" applyFont="1" applyBorder="1"/>
    <xf numFmtId="0" fontId="2" fillId="0" borderId="9" xfId="0" applyFont="1" applyBorder="1"/>
    <xf numFmtId="166" fontId="8" fillId="0" borderId="0" xfId="1" applyNumberFormat="1" applyFont="1" applyFill="1" applyBorder="1"/>
    <xf numFmtId="166" fontId="8" fillId="0" borderId="0" xfId="1" applyNumberFormat="1" applyFont="1" applyBorder="1"/>
    <xf numFmtId="166" fontId="2" fillId="0" borderId="0" xfId="1" applyNumberFormat="1" applyFont="1" applyBorder="1"/>
    <xf numFmtId="166" fontId="2" fillId="0" borderId="8" xfId="1" applyNumberFormat="1" applyFont="1" applyBorder="1"/>
    <xf numFmtId="9" fontId="7" fillId="0" borderId="7" xfId="0" applyNumberFormat="1" applyFont="1" applyBorder="1"/>
    <xf numFmtId="9" fontId="2" fillId="0" borderId="0" xfId="2" applyFont="1" applyBorder="1"/>
    <xf numFmtId="9" fontId="2" fillId="0" borderId="8" xfId="2" applyFont="1" applyBorder="1"/>
    <xf numFmtId="165" fontId="2" fillId="0" borderId="7" xfId="0" applyNumberFormat="1" applyFont="1" applyBorder="1"/>
    <xf numFmtId="9" fontId="9" fillId="0" borderId="8" xfId="0" applyNumberFormat="1" applyFont="1" applyBorder="1"/>
    <xf numFmtId="165" fontId="10" fillId="0" borderId="7" xfId="0" applyNumberFormat="1" applyFont="1" applyBorder="1"/>
    <xf numFmtId="10" fontId="11" fillId="0" borderId="8" xfId="0" applyNumberFormat="1" applyFont="1" applyBorder="1"/>
    <xf numFmtId="165" fontId="12" fillId="0" borderId="7" xfId="0" applyNumberFormat="1" applyFont="1" applyBorder="1"/>
    <xf numFmtId="9" fontId="13" fillId="0" borderId="8" xfId="0" applyNumberFormat="1" applyFont="1" applyBorder="1"/>
    <xf numFmtId="9" fontId="11" fillId="0" borderId="8" xfId="0" applyNumberFormat="1" applyFont="1" applyBorder="1"/>
    <xf numFmtId="0" fontId="2" fillId="0" borderId="8" xfId="0" applyFont="1" applyBorder="1"/>
    <xf numFmtId="165" fontId="12" fillId="0" borderId="10" xfId="0" applyNumberFormat="1" applyFont="1" applyBorder="1"/>
    <xf numFmtId="0" fontId="2" fillId="0" borderId="11" xfId="0" applyFont="1" applyBorder="1"/>
    <xf numFmtId="9" fontId="13" fillId="0" borderId="12" xfId="0" applyNumberFormat="1" applyFont="1" applyBorder="1"/>
    <xf numFmtId="9" fontId="2" fillId="0" borderId="8" xfId="0" applyNumberFormat="1" applyFont="1" applyBorder="1"/>
    <xf numFmtId="165" fontId="6" fillId="0" borderId="7" xfId="0" applyNumberFormat="1" applyFont="1" applyBorder="1"/>
    <xf numFmtId="166" fontId="2" fillId="0" borderId="8" xfId="0" applyNumberFormat="1" applyFont="1" applyBorder="1"/>
    <xf numFmtId="1" fontId="2" fillId="0" borderId="8" xfId="0" applyNumberFormat="1" applyFont="1" applyBorder="1"/>
    <xf numFmtId="0" fontId="7" fillId="0" borderId="7" xfId="0" applyFont="1" applyBorder="1"/>
    <xf numFmtId="165" fontId="14" fillId="0" borderId="7" xfId="0" applyNumberFormat="1" applyFont="1" applyBorder="1"/>
    <xf numFmtId="165" fontId="15" fillId="0" borderId="7" xfId="0" applyNumberFormat="1" applyFont="1" applyBorder="1"/>
    <xf numFmtId="9" fontId="16" fillId="0" borderId="7" xfId="0" applyNumberFormat="1" applyFont="1" applyBorder="1"/>
    <xf numFmtId="168" fontId="2" fillId="0" borderId="7" xfId="0" applyNumberFormat="1" applyFont="1" applyBorder="1"/>
    <xf numFmtId="169" fontId="2" fillId="0" borderId="7" xfId="0" applyNumberFormat="1" applyFont="1" applyBorder="1"/>
    <xf numFmtId="9" fontId="2" fillId="0" borderId="7" xfId="0" applyNumberFormat="1" applyFont="1" applyBorder="1"/>
    <xf numFmtId="43" fontId="2" fillId="0" borderId="8" xfId="0" applyNumberFormat="1" applyFont="1" applyBorder="1"/>
    <xf numFmtId="167" fontId="2" fillId="0" borderId="8" xfId="0" applyNumberFormat="1" applyFont="1" applyBorder="1"/>
    <xf numFmtId="10" fontId="2" fillId="0" borderId="8" xfId="2" applyNumberFormat="1" applyFont="1" applyBorder="1"/>
    <xf numFmtId="169" fontId="2" fillId="0" borderId="8" xfId="2" applyNumberFormat="1" applyFont="1" applyBorder="1"/>
    <xf numFmtId="165" fontId="2" fillId="0" borderId="10" xfId="0" applyNumberFormat="1" applyFont="1" applyBorder="1"/>
    <xf numFmtId="0" fontId="17" fillId="0" borderId="0" xfId="0" applyFont="1" applyAlignment="1">
      <alignment horizontal="center" vertical="center"/>
    </xf>
    <xf numFmtId="171" fontId="17" fillId="0" borderId="0" xfId="0" applyNumberFormat="1" applyFont="1" applyAlignment="1">
      <alignment horizontal="center" vertical="center"/>
    </xf>
    <xf numFmtId="169" fontId="18" fillId="0" borderId="0" xfId="0" applyNumberFormat="1" applyFont="1" applyAlignment="1">
      <alignment horizontal="center" vertical="center"/>
    </xf>
    <xf numFmtId="17" fontId="0" fillId="0" borderId="0" xfId="0" applyNumberFormat="1"/>
    <xf numFmtId="9" fontId="2" fillId="0" borderId="0" xfId="0" applyNumberFormat="1" applyFont="1"/>
    <xf numFmtId="166" fontId="2" fillId="0" borderId="11" xfId="0" applyNumberFormat="1" applyFont="1" applyBorder="1"/>
    <xf numFmtId="165" fontId="2" fillId="0" borderId="0" xfId="0" applyNumberFormat="1" applyFont="1"/>
    <xf numFmtId="37" fontId="2" fillId="0" borderId="0" xfId="0" applyNumberFormat="1" applyFont="1"/>
    <xf numFmtId="37" fontId="21" fillId="0" borderId="0" xfId="0" applyNumberFormat="1" applyFont="1"/>
    <xf numFmtId="165" fontId="21" fillId="0" borderId="0" xfId="0" applyNumberFormat="1" applyFont="1"/>
    <xf numFmtId="165" fontId="2" fillId="0" borderId="0" xfId="0" applyNumberFormat="1" applyFont="1" applyAlignment="1">
      <alignment horizontal="center"/>
    </xf>
    <xf numFmtId="168" fontId="2" fillId="0" borderId="0" xfId="0" applyNumberFormat="1" applyFont="1"/>
    <xf numFmtId="168" fontId="21" fillId="0" borderId="0" xfId="0" applyNumberFormat="1" applyFont="1"/>
    <xf numFmtId="9" fontId="2" fillId="0" borderId="0" xfId="0" applyNumberFormat="1" applyFont="1" applyAlignment="1">
      <alignment horizontal="center"/>
    </xf>
    <xf numFmtId="9" fontId="21" fillId="0" borderId="0" xfId="0" applyNumberFormat="1" applyFont="1"/>
    <xf numFmtId="37" fontId="2" fillId="0" borderId="8" xfId="0" applyNumberFormat="1" applyFont="1" applyBorder="1"/>
    <xf numFmtId="37" fontId="2" fillId="0" borderId="11" xfId="0" applyNumberFormat="1" applyFont="1" applyBorder="1"/>
    <xf numFmtId="37" fontId="2" fillId="0" borderId="12" xfId="0" applyNumberFormat="1" applyFont="1" applyBorder="1"/>
    <xf numFmtId="166" fontId="2" fillId="0" borderId="12" xfId="0" applyNumberFormat="1" applyFont="1" applyBorder="1"/>
    <xf numFmtId="172" fontId="2" fillId="0" borderId="8" xfId="0" applyNumberFormat="1" applyFont="1" applyBorder="1"/>
    <xf numFmtId="2" fontId="2" fillId="0" borderId="8" xfId="0" applyNumberFormat="1" applyFont="1" applyBorder="1"/>
    <xf numFmtId="3" fontId="2" fillId="0" borderId="8" xfId="0" applyNumberFormat="1" applyFont="1" applyBorder="1"/>
    <xf numFmtId="17" fontId="2" fillId="0" borderId="0" xfId="0" applyNumberFormat="1" applyFont="1"/>
    <xf numFmtId="170" fontId="19" fillId="0" borderId="0" xfId="0" applyNumberFormat="1" applyFont="1" applyAlignment="1">
      <alignment horizontal="center" vertical="center"/>
    </xf>
    <xf numFmtId="170" fontId="20" fillId="0" borderId="0" xfId="0" applyNumberFormat="1" applyFont="1" applyAlignment="1">
      <alignment horizontal="center" vertical="center"/>
    </xf>
    <xf numFmtId="3" fontId="19" fillId="0" borderId="8" xfId="0" applyNumberFormat="1" applyFont="1" applyBorder="1" applyAlignment="1">
      <alignment horizontal="center" vertical="center"/>
    </xf>
    <xf numFmtId="17" fontId="2" fillId="0" borderId="11" xfId="0" applyNumberFormat="1" applyFont="1" applyBorder="1"/>
    <xf numFmtId="170" fontId="19" fillId="0" borderId="11" xfId="0" applyNumberFormat="1" applyFont="1" applyBorder="1" applyAlignment="1">
      <alignment horizontal="center" vertical="center"/>
    </xf>
    <xf numFmtId="170" fontId="20" fillId="0" borderId="11" xfId="0" applyNumberFormat="1" applyFont="1" applyBorder="1" applyAlignment="1">
      <alignment horizontal="center" vertical="center"/>
    </xf>
    <xf numFmtId="3" fontId="19" fillId="0" borderId="12" xfId="0" applyNumberFormat="1" applyFont="1" applyBorder="1" applyAlignment="1">
      <alignment horizontal="center" vertical="center"/>
    </xf>
    <xf numFmtId="9" fontId="2" fillId="0" borderId="0" xfId="2" applyFont="1" applyBorder="1" applyAlignment="1">
      <alignment horizontal="center" vertical="center"/>
    </xf>
    <xf numFmtId="10" fontId="2" fillId="0" borderId="0" xfId="2" applyNumberFormat="1" applyFont="1" applyBorder="1"/>
    <xf numFmtId="169" fontId="2" fillId="0" borderId="0" xfId="2" applyNumberFormat="1" applyFont="1" applyBorder="1"/>
    <xf numFmtId="164" fontId="2" fillId="2" borderId="8" xfId="0" applyNumberFormat="1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7" fontId="6" fillId="4" borderId="7" xfId="0" applyNumberFormat="1" applyFont="1" applyFill="1" applyBorder="1"/>
    <xf numFmtId="43" fontId="2" fillId="3" borderId="8" xfId="0" applyNumberFormat="1" applyFont="1" applyFill="1" applyBorder="1"/>
    <xf numFmtId="7" fontId="14" fillId="4" borderId="7" xfId="0" applyNumberFormat="1" applyFont="1" applyFill="1" applyBorder="1"/>
    <xf numFmtId="7" fontId="2" fillId="0" borderId="7" xfId="0" applyNumberFormat="1" applyFont="1" applyBorder="1"/>
    <xf numFmtId="172" fontId="9" fillId="0" borderId="8" xfId="0" applyNumberFormat="1" applyFont="1" applyBorder="1"/>
    <xf numFmtId="0" fontId="22" fillId="0" borderId="24" xfId="0" applyFont="1" applyBorder="1" applyAlignment="1">
      <alignment horizontal="center"/>
    </xf>
    <xf numFmtId="170" fontId="0" fillId="0" borderId="24" xfId="0" applyNumberFormat="1" applyBorder="1" applyAlignment="1">
      <alignment horizontal="center"/>
    </xf>
    <xf numFmtId="0" fontId="0" fillId="0" borderId="24" xfId="0" applyBorder="1"/>
    <xf numFmtId="0" fontId="0" fillId="0" borderId="25" xfId="0" applyBorder="1"/>
    <xf numFmtId="164" fontId="4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166" fontId="2" fillId="0" borderId="0" xfId="0" applyNumberFormat="1" applyFont="1"/>
    <xf numFmtId="1" fontId="2" fillId="0" borderId="0" xfId="0" applyNumberFormat="1" applyFont="1"/>
    <xf numFmtId="43" fontId="2" fillId="0" borderId="0" xfId="0" applyNumberFormat="1" applyFont="1"/>
    <xf numFmtId="167" fontId="2" fillId="0" borderId="0" xfId="0" applyNumberFormat="1" applyFont="1"/>
    <xf numFmtId="43" fontId="2" fillId="3" borderId="0" xfId="0" applyNumberFormat="1" applyFont="1" applyFill="1"/>
    <xf numFmtId="172" fontId="2" fillId="0" borderId="0" xfId="0" applyNumberFormat="1" applyFont="1"/>
    <xf numFmtId="2" fontId="2" fillId="0" borderId="0" xfId="0" applyNumberFormat="1" applyFont="1"/>
    <xf numFmtId="172" fontId="9" fillId="0" borderId="0" xfId="0" applyNumberFormat="1" applyFont="1"/>
    <xf numFmtId="0" fontId="9" fillId="0" borderId="0" xfId="0" applyFont="1"/>
    <xf numFmtId="3" fontId="2" fillId="0" borderId="0" xfId="0" applyNumberFormat="1" applyFont="1"/>
    <xf numFmtId="0" fontId="0" fillId="0" borderId="8" xfId="0" applyBorder="1"/>
    <xf numFmtId="0" fontId="2" fillId="0" borderId="10" xfId="0" applyFont="1" applyBorder="1"/>
    <xf numFmtId="0" fontId="2" fillId="0" borderId="11" xfId="0" applyFont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9" fontId="9" fillId="0" borderId="0" xfId="0" applyNumberFormat="1" applyFont="1"/>
    <xf numFmtId="9" fontId="11" fillId="0" borderId="0" xfId="0" applyNumberFormat="1" applyFont="1"/>
    <xf numFmtId="10" fontId="11" fillId="0" borderId="0" xfId="0" applyNumberFormat="1" applyFont="1"/>
    <xf numFmtId="9" fontId="13" fillId="0" borderId="0" xfId="0" applyNumberFormat="1" applyFont="1"/>
    <xf numFmtId="166" fontId="4" fillId="0" borderId="0" xfId="1" applyNumberFormat="1" applyFont="1" applyBorder="1"/>
    <xf numFmtId="166" fontId="9" fillId="0" borderId="0" xfId="1" applyNumberFormat="1" applyFont="1" applyBorder="1"/>
    <xf numFmtId="9" fontId="8" fillId="0" borderId="0" xfId="0" applyNumberFormat="1" applyFont="1"/>
    <xf numFmtId="9" fontId="13" fillId="0" borderId="11" xfId="0" applyNumberFormat="1" applyFont="1" applyBorder="1"/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0" fillId="0" borderId="0" xfId="0" applyNumberFormat="1"/>
    <xf numFmtId="1" fontId="0" fillId="0" borderId="8" xfId="0" applyNumberFormat="1" applyBorder="1"/>
    <xf numFmtId="0" fontId="3" fillId="5" borderId="4" xfId="0" applyFont="1" applyFill="1" applyBorder="1"/>
    <xf numFmtId="0" fontId="3" fillId="5" borderId="5" xfId="0" applyFont="1" applyFill="1" applyBorder="1"/>
    <xf numFmtId="0" fontId="2" fillId="5" borderId="5" xfId="0" applyFont="1" applyFill="1" applyBorder="1"/>
    <xf numFmtId="0" fontId="2" fillId="5" borderId="6" xfId="0" applyFont="1" applyFill="1" applyBorder="1"/>
    <xf numFmtId="0" fontId="3" fillId="5" borderId="7" xfId="0" applyFont="1" applyFill="1" applyBorder="1"/>
    <xf numFmtId="0" fontId="2" fillId="5" borderId="0" xfId="0" applyFont="1" applyFill="1"/>
    <xf numFmtId="0" fontId="2" fillId="5" borderId="8" xfId="0" applyFont="1" applyFill="1" applyBorder="1"/>
    <xf numFmtId="165" fontId="3" fillId="6" borderId="7" xfId="0" applyNumberFormat="1" applyFont="1" applyFill="1" applyBorder="1"/>
    <xf numFmtId="165" fontId="3" fillId="6" borderId="4" xfId="0" applyNumberFormat="1" applyFont="1" applyFill="1" applyBorder="1"/>
    <xf numFmtId="165" fontId="5" fillId="6" borderId="5" xfId="0" applyNumberFormat="1" applyFont="1" applyFill="1" applyBorder="1"/>
    <xf numFmtId="165" fontId="5" fillId="6" borderId="6" xfId="0" applyNumberFormat="1" applyFont="1" applyFill="1" applyBorder="1"/>
    <xf numFmtId="0" fontId="5" fillId="5" borderId="5" xfId="0" applyFont="1" applyFill="1" applyBorder="1"/>
    <xf numFmtId="0" fontId="6" fillId="5" borderId="0" xfId="0" applyFont="1" applyFill="1"/>
    <xf numFmtId="0" fontId="6" fillId="5" borderId="8" xfId="0" applyFont="1" applyFill="1" applyBorder="1"/>
    <xf numFmtId="0" fontId="3" fillId="5" borderId="3" xfId="0" applyFont="1" applyFill="1" applyBorder="1" applyAlignment="1">
      <alignment horizontal="center"/>
    </xf>
    <xf numFmtId="0" fontId="6" fillId="10" borderId="20" xfId="0" applyFont="1" applyFill="1" applyBorder="1" applyAlignment="1">
      <alignment horizontal="center"/>
    </xf>
    <xf numFmtId="0" fontId="6" fillId="10" borderId="15" xfId="0" applyFont="1" applyFill="1" applyBorder="1" applyAlignment="1">
      <alignment horizontal="center"/>
    </xf>
    <xf numFmtId="0" fontId="6" fillId="10" borderId="14" xfId="0" applyFont="1" applyFill="1" applyBorder="1" applyAlignment="1">
      <alignment horizontal="center"/>
    </xf>
    <xf numFmtId="0" fontId="6" fillId="10" borderId="21" xfId="0" applyFont="1" applyFill="1" applyBorder="1" applyAlignment="1">
      <alignment horizontal="center"/>
    </xf>
    <xf numFmtId="0" fontId="6" fillId="0" borderId="22" xfId="0" applyFont="1" applyBorder="1"/>
    <xf numFmtId="0" fontId="6" fillId="0" borderId="17" xfId="0" applyFont="1" applyBorder="1" applyAlignment="1">
      <alignment horizontal="center"/>
    </xf>
    <xf numFmtId="173" fontId="6" fillId="0" borderId="17" xfId="0" applyNumberFormat="1" applyFont="1" applyBorder="1" applyAlignment="1">
      <alignment horizontal="center"/>
    </xf>
    <xf numFmtId="37" fontId="6" fillId="0" borderId="17" xfId="0" applyNumberFormat="1" applyFont="1" applyBorder="1" applyAlignment="1">
      <alignment horizontal="center"/>
    </xf>
    <xf numFmtId="9" fontId="6" fillId="0" borderId="16" xfId="0" applyNumberFormat="1" applyFont="1" applyBorder="1" applyAlignment="1">
      <alignment horizontal="center"/>
    </xf>
    <xf numFmtId="9" fontId="6" fillId="0" borderId="17" xfId="0" applyNumberFormat="1" applyFont="1" applyBorder="1" applyAlignment="1">
      <alignment horizontal="center"/>
    </xf>
    <xf numFmtId="168" fontId="6" fillId="0" borderId="22" xfId="0" applyNumberFormat="1" applyFont="1" applyBorder="1" applyAlignment="1">
      <alignment horizontal="center"/>
    </xf>
    <xf numFmtId="168" fontId="6" fillId="0" borderId="23" xfId="0" applyNumberFormat="1" applyFont="1" applyBorder="1" applyAlignment="1">
      <alignment horizontal="center"/>
    </xf>
    <xf numFmtId="9" fontId="6" fillId="0" borderId="23" xfId="0" applyNumberFormat="1" applyFont="1" applyBorder="1" applyAlignment="1">
      <alignment horizontal="center"/>
    </xf>
    <xf numFmtId="173" fontId="2" fillId="0" borderId="0" xfId="0" applyNumberFormat="1" applyFont="1" applyAlignment="1">
      <alignment horizontal="center"/>
    </xf>
    <xf numFmtId="37" fontId="2" fillId="0" borderId="0" xfId="0" applyNumberFormat="1" applyFont="1" applyAlignment="1">
      <alignment horizontal="center"/>
    </xf>
    <xf numFmtId="9" fontId="2" fillId="0" borderId="13" xfId="0" applyNumberFormat="1" applyFont="1" applyBorder="1" applyAlignment="1">
      <alignment horizontal="center"/>
    </xf>
    <xf numFmtId="168" fontId="2" fillId="0" borderId="7" xfId="0" applyNumberFormat="1" applyFont="1" applyBorder="1" applyAlignment="1">
      <alignment horizontal="center"/>
    </xf>
    <xf numFmtId="168" fontId="2" fillId="0" borderId="8" xfId="0" applyNumberFormat="1" applyFont="1" applyBorder="1" applyAlignment="1">
      <alignment horizontal="center"/>
    </xf>
    <xf numFmtId="9" fontId="2" fillId="0" borderId="8" xfId="0" applyNumberFormat="1" applyFont="1" applyBorder="1" applyAlignment="1">
      <alignment horizontal="center"/>
    </xf>
    <xf numFmtId="168" fontId="6" fillId="10" borderId="11" xfId="0" applyNumberFormat="1" applyFont="1" applyFill="1" applyBorder="1" applyAlignment="1">
      <alignment horizontal="center"/>
    </xf>
    <xf numFmtId="0" fontId="6" fillId="10" borderId="4" xfId="0" applyFont="1" applyFill="1" applyBorder="1" applyAlignment="1">
      <alignment horizontal="center"/>
    </xf>
    <xf numFmtId="0" fontId="6" fillId="10" borderId="5" xfId="0" applyFont="1" applyFill="1" applyBorder="1" applyAlignment="1">
      <alignment horizontal="center"/>
    </xf>
    <xf numFmtId="9" fontId="6" fillId="10" borderId="5" xfId="0" applyNumberFormat="1" applyFont="1" applyFill="1" applyBorder="1" applyAlignment="1">
      <alignment horizontal="center"/>
    </xf>
    <xf numFmtId="168" fontId="6" fillId="10" borderId="5" xfId="0" applyNumberFormat="1" applyFont="1" applyFill="1" applyBorder="1" applyAlignment="1">
      <alignment horizontal="center"/>
    </xf>
    <xf numFmtId="9" fontId="6" fillId="10" borderId="6" xfId="0" applyNumberFormat="1" applyFont="1" applyFill="1" applyBorder="1" applyAlignment="1">
      <alignment horizontal="center"/>
    </xf>
    <xf numFmtId="0" fontId="6" fillId="11" borderId="10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/>
    </xf>
    <xf numFmtId="9" fontId="6" fillId="10" borderId="11" xfId="0" applyNumberFormat="1" applyFont="1" applyFill="1" applyBorder="1" applyAlignment="1">
      <alignment horizontal="center"/>
    </xf>
    <xf numFmtId="9" fontId="6" fillId="10" borderId="12" xfId="0" applyNumberFormat="1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6" fillId="0" borderId="0" xfId="0" applyFont="1"/>
    <xf numFmtId="0" fontId="3" fillId="0" borderId="0" xfId="0" applyFont="1"/>
    <xf numFmtId="1" fontId="6" fillId="0" borderId="0" xfId="0" applyNumberFormat="1" applyFont="1"/>
    <xf numFmtId="173" fontId="2" fillId="0" borderId="0" xfId="0" applyNumberFormat="1" applyFont="1"/>
    <xf numFmtId="0" fontId="3" fillId="5" borderId="0" xfId="0" applyFont="1" applyFill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3" fillId="8" borderId="20" xfId="0" applyFont="1" applyFill="1" applyBorder="1" applyAlignment="1">
      <alignment horizontal="center"/>
    </xf>
    <xf numFmtId="0" fontId="23" fillId="9" borderId="15" xfId="0" applyFont="1" applyFill="1" applyBorder="1"/>
    <xf numFmtId="0" fontId="3" fillId="8" borderId="14" xfId="0" applyFont="1" applyFill="1" applyBorder="1" applyAlignment="1">
      <alignment horizontal="center"/>
    </xf>
    <xf numFmtId="0" fontId="3" fillId="8" borderId="18" xfId="0" applyFont="1" applyFill="1" applyBorder="1" applyAlignment="1">
      <alignment horizontal="center"/>
    </xf>
    <xf numFmtId="0" fontId="23" fillId="9" borderId="19" xfId="0" applyFont="1" applyFill="1" applyBorder="1"/>
    <xf numFmtId="0" fontId="3" fillId="8" borderId="15" xfId="0" applyFont="1" applyFill="1" applyBorder="1" applyAlignment="1">
      <alignment horizontal="center"/>
    </xf>
    <xf numFmtId="0" fontId="23" fillId="9" borderId="21" xfId="0" applyFont="1" applyFill="1" applyBorder="1"/>
    <xf numFmtId="0" fontId="25" fillId="0" borderId="0" xfId="0" applyFont="1" applyFill="1" applyBorder="1" applyAlignment="1">
      <alignment horizontal="center" vertical="center"/>
    </xf>
    <xf numFmtId="173" fontId="25" fillId="0" borderId="0" xfId="0" applyNumberFormat="1" applyFont="1" applyFill="1" applyBorder="1" applyAlignment="1">
      <alignment horizontal="center" vertical="center"/>
    </xf>
    <xf numFmtId="173" fontId="2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165" fontId="6" fillId="0" borderId="0" xfId="0" applyNumberFormat="1" applyFont="1" applyFill="1" applyBorder="1" applyAlignment="1">
      <alignment horizontal="center"/>
    </xf>
    <xf numFmtId="165" fontId="6" fillId="0" borderId="0" xfId="0" applyNumberFormat="1" applyFont="1" applyFill="1" applyBorder="1"/>
    <xf numFmtId="0" fontId="6" fillId="0" borderId="0" xfId="0" applyFont="1" applyFill="1" applyBorder="1"/>
    <xf numFmtId="173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173" fontId="2" fillId="0" borderId="0" xfId="0" applyNumberFormat="1" applyFont="1" applyFill="1" applyBorder="1"/>
    <xf numFmtId="0" fontId="2" fillId="0" borderId="0" xfId="0" applyFont="1" applyFill="1" applyBorder="1"/>
    <xf numFmtId="165" fontId="2" fillId="0" borderId="0" xfId="0" applyNumberFormat="1" applyFont="1" applyFill="1" applyBorder="1" applyAlignment="1">
      <alignment horizontal="center"/>
    </xf>
    <xf numFmtId="173" fontId="7" fillId="0" borderId="0" xfId="0" applyNumberFormat="1" applyFont="1" applyFill="1" applyBorder="1" applyAlignment="1">
      <alignment horizontal="center"/>
    </xf>
    <xf numFmtId="9" fontId="24" fillId="0" borderId="0" xfId="0" applyNumberFormat="1" applyFont="1" applyFill="1" applyBorder="1" applyAlignment="1">
      <alignment horizontal="center"/>
    </xf>
    <xf numFmtId="9" fontId="7" fillId="0" borderId="0" xfId="0" applyNumberFormat="1" applyFont="1" applyFill="1" applyBorder="1" applyAlignment="1">
      <alignment horizontal="center"/>
    </xf>
    <xf numFmtId="7" fontId="6" fillId="0" borderId="0" xfId="0" applyNumberFormat="1" applyFont="1" applyFill="1" applyBorder="1" applyAlignment="1">
      <alignment horizontal="center"/>
    </xf>
    <xf numFmtId="9" fontId="21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174" fontId="3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094AA"/>
      <color rgb="FFFF7E79"/>
      <color rgb="FF215C98"/>
      <color rgb="FFF7E6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Bausch + Lomb Corp Since IPO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Data!$B$2:$B$49</c:f>
              <c:numCache>
                <c:formatCode>mmm\-yy</c:formatCode>
                <c:ptCount val="48"/>
                <c:pt idx="0">
                  <c:v>44682</c:v>
                </c:pt>
                <c:pt idx="1">
                  <c:v>44713</c:v>
                </c:pt>
                <c:pt idx="2">
                  <c:v>44743</c:v>
                </c:pt>
                <c:pt idx="3">
                  <c:v>44774</c:v>
                </c:pt>
                <c:pt idx="4">
                  <c:v>44805</c:v>
                </c:pt>
                <c:pt idx="5">
                  <c:v>44835</c:v>
                </c:pt>
                <c:pt idx="6">
                  <c:v>44866</c:v>
                </c:pt>
                <c:pt idx="7">
                  <c:v>44896</c:v>
                </c:pt>
                <c:pt idx="8">
                  <c:v>44927</c:v>
                </c:pt>
                <c:pt idx="9">
                  <c:v>44958</c:v>
                </c:pt>
                <c:pt idx="10">
                  <c:v>44986</c:v>
                </c:pt>
                <c:pt idx="11">
                  <c:v>45017</c:v>
                </c:pt>
                <c:pt idx="12">
                  <c:v>45047</c:v>
                </c:pt>
                <c:pt idx="13">
                  <c:v>45078</c:v>
                </c:pt>
                <c:pt idx="14">
                  <c:v>45108</c:v>
                </c:pt>
                <c:pt idx="15">
                  <c:v>45139</c:v>
                </c:pt>
                <c:pt idx="16">
                  <c:v>45170</c:v>
                </c:pt>
                <c:pt idx="17">
                  <c:v>45200</c:v>
                </c:pt>
                <c:pt idx="18">
                  <c:v>45231</c:v>
                </c:pt>
                <c:pt idx="19">
                  <c:v>45261</c:v>
                </c:pt>
                <c:pt idx="20">
                  <c:v>45292</c:v>
                </c:pt>
                <c:pt idx="21">
                  <c:v>45323</c:v>
                </c:pt>
                <c:pt idx="22">
                  <c:v>45352</c:v>
                </c:pt>
                <c:pt idx="23">
                  <c:v>45383</c:v>
                </c:pt>
                <c:pt idx="24">
                  <c:v>45413</c:v>
                </c:pt>
                <c:pt idx="25">
                  <c:v>45444</c:v>
                </c:pt>
                <c:pt idx="26">
                  <c:v>45474</c:v>
                </c:pt>
                <c:pt idx="27">
                  <c:v>45505</c:v>
                </c:pt>
                <c:pt idx="28">
                  <c:v>45536</c:v>
                </c:pt>
                <c:pt idx="29">
                  <c:v>45566</c:v>
                </c:pt>
                <c:pt idx="30">
                  <c:v>45597</c:v>
                </c:pt>
                <c:pt idx="31">
                  <c:v>45627</c:v>
                </c:pt>
                <c:pt idx="32">
                  <c:v>45658</c:v>
                </c:pt>
                <c:pt idx="33">
                  <c:v>45689</c:v>
                </c:pt>
                <c:pt idx="34">
                  <c:v>45717</c:v>
                </c:pt>
                <c:pt idx="35">
                  <c:v>45748</c:v>
                </c:pt>
                <c:pt idx="36">
                  <c:v>45778</c:v>
                </c:pt>
                <c:pt idx="37">
                  <c:v>45809</c:v>
                </c:pt>
                <c:pt idx="38">
                  <c:v>45839</c:v>
                </c:pt>
                <c:pt idx="39">
                  <c:v>45870</c:v>
                </c:pt>
                <c:pt idx="40">
                  <c:v>45901</c:v>
                </c:pt>
                <c:pt idx="41">
                  <c:v>45931</c:v>
                </c:pt>
                <c:pt idx="42">
                  <c:v>45962</c:v>
                </c:pt>
                <c:pt idx="43">
                  <c:v>45992</c:v>
                </c:pt>
                <c:pt idx="44">
                  <c:v>46023</c:v>
                </c:pt>
                <c:pt idx="45">
                  <c:v>46054</c:v>
                </c:pt>
                <c:pt idx="46">
                  <c:v>46082</c:v>
                </c:pt>
                <c:pt idx="47">
                  <c:v>46113</c:v>
                </c:pt>
              </c:numCache>
            </c:numRef>
          </c:cat>
          <c:val>
            <c:numRef>
              <c:f>Data!$F$2:$F$49</c:f>
              <c:numCache>
                <c:formatCode>\$#,##0.00</c:formatCode>
                <c:ptCount val="48"/>
                <c:pt idx="0">
                  <c:v>16.82</c:v>
                </c:pt>
                <c:pt idx="1">
                  <c:v>14.21</c:v>
                </c:pt>
                <c:pt idx="2">
                  <c:v>16.350000000000001</c:v>
                </c:pt>
                <c:pt idx="3">
                  <c:v>16.899999999999999</c:v>
                </c:pt>
                <c:pt idx="4">
                  <c:v>14.1</c:v>
                </c:pt>
                <c:pt idx="5">
                  <c:v>16.45</c:v>
                </c:pt>
                <c:pt idx="6">
                  <c:v>17.850000000000001</c:v>
                </c:pt>
                <c:pt idx="7">
                  <c:v>15.96</c:v>
                </c:pt>
                <c:pt idx="8">
                  <c:v>18.2</c:v>
                </c:pt>
                <c:pt idx="9">
                  <c:v>18.649999999999999</c:v>
                </c:pt>
                <c:pt idx="10">
                  <c:v>19.5</c:v>
                </c:pt>
                <c:pt idx="11">
                  <c:v>19.8</c:v>
                </c:pt>
                <c:pt idx="12">
                  <c:v>19.2</c:v>
                </c:pt>
                <c:pt idx="13">
                  <c:v>19.850000000000001</c:v>
                </c:pt>
                <c:pt idx="14">
                  <c:v>18.899999999999999</c:v>
                </c:pt>
                <c:pt idx="15">
                  <c:v>17.45</c:v>
                </c:pt>
                <c:pt idx="16">
                  <c:v>15.3</c:v>
                </c:pt>
                <c:pt idx="17">
                  <c:v>15.75</c:v>
                </c:pt>
                <c:pt idx="18">
                  <c:v>16.899999999999999</c:v>
                </c:pt>
                <c:pt idx="19">
                  <c:v>17.8</c:v>
                </c:pt>
                <c:pt idx="20">
                  <c:v>16.8</c:v>
                </c:pt>
                <c:pt idx="21">
                  <c:v>17.2</c:v>
                </c:pt>
                <c:pt idx="22">
                  <c:v>18.2</c:v>
                </c:pt>
                <c:pt idx="23">
                  <c:v>17.100000000000001</c:v>
                </c:pt>
                <c:pt idx="24">
                  <c:v>16.45</c:v>
                </c:pt>
                <c:pt idx="25">
                  <c:v>15.6</c:v>
                </c:pt>
                <c:pt idx="26">
                  <c:v>16.2</c:v>
                </c:pt>
                <c:pt idx="27">
                  <c:v>17.100000000000001</c:v>
                </c:pt>
                <c:pt idx="28">
                  <c:v>17.5</c:v>
                </c:pt>
                <c:pt idx="29">
                  <c:v>17.2</c:v>
                </c:pt>
                <c:pt idx="30">
                  <c:v>16.5</c:v>
                </c:pt>
                <c:pt idx="31">
                  <c:v>15.45</c:v>
                </c:pt>
                <c:pt idx="32">
                  <c:v>14.2</c:v>
                </c:pt>
                <c:pt idx="33">
                  <c:v>15.5</c:v>
                </c:pt>
                <c:pt idx="34">
                  <c:v>14.8</c:v>
                </c:pt>
                <c:pt idx="35">
                  <c:v>13.2</c:v>
                </c:pt>
                <c:pt idx="36">
                  <c:v>12.8</c:v>
                </c:pt>
                <c:pt idx="37">
                  <c:v>14.1</c:v>
                </c:pt>
                <c:pt idx="38">
                  <c:v>15.5</c:v>
                </c:pt>
                <c:pt idx="39">
                  <c:v>15.9</c:v>
                </c:pt>
                <c:pt idx="40">
                  <c:v>16.399999999999999</c:v>
                </c:pt>
                <c:pt idx="41">
                  <c:v>16.899999999999999</c:v>
                </c:pt>
                <c:pt idx="42">
                  <c:v>18.5</c:v>
                </c:pt>
                <c:pt idx="43">
                  <c:v>17.100000000000001</c:v>
                </c:pt>
                <c:pt idx="44">
                  <c:v>18.05</c:v>
                </c:pt>
                <c:pt idx="45">
                  <c:v>18.3</c:v>
                </c:pt>
                <c:pt idx="46">
                  <c:v>15.9</c:v>
                </c:pt>
                <c:pt idx="47">
                  <c:v>16.82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69-FC4C-A8DC-C42C1A15C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777008"/>
        <c:axId val="25778720"/>
      </c:lineChart>
      <c:dateAx>
        <c:axId val="2577700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78720"/>
        <c:crosses val="autoZero"/>
        <c:auto val="1"/>
        <c:lblOffset val="100"/>
        <c:baseTimeUnit val="months"/>
      </c:dateAx>
      <c:valAx>
        <c:axId val="2577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77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914400</xdr:colOff>
      <xdr:row>0</xdr:row>
      <xdr:rowOff>0</xdr:rowOff>
    </xdr:from>
    <xdr:to>
      <xdr:col>3</xdr:col>
      <xdr:colOff>469899</xdr:colOff>
      <xdr:row>5</xdr:row>
      <xdr:rowOff>76448</xdr:rowOff>
    </xdr:to>
    <xdr:pic>
      <xdr:nvPicPr>
        <xdr:cNvPr id="2" name="Picture 1" descr="Featured Eyewear Brands for Quality &amp; Style | Eyes on Group">
          <a:extLst>
            <a:ext uri="{FF2B5EF4-FFF2-40B4-BE49-F238E27FC236}">
              <a16:creationId xmlns:a16="http://schemas.microsoft.com/office/drawing/2014/main" id="{130869DE-9766-05AD-8D5C-F279E3EF9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0"/>
          <a:ext cx="2349499" cy="1117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12700</xdr:colOff>
      <xdr:row>1</xdr:row>
      <xdr:rowOff>25400</xdr:rowOff>
    </xdr:from>
    <xdr:to>
      <xdr:col>17</xdr:col>
      <xdr:colOff>0</xdr:colOff>
      <xdr:row>23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B1156E-B9C3-BC42-94A7-CFD9E1B6FA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wenpurnomo/Desktop/BU%20Undergraduate/Spring%202026/Credit%20Analysis/BHC%20Distressed/BBW%20Model%20-%20Nicholas%20Glomski.xlsx" TargetMode="External"/><Relationship Id="rId1" Type="http://schemas.openxmlformats.org/officeDocument/2006/relationships/externalLinkPath" Target="BBW%20Model%20-%20Nicholas%20Glomsk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Segments"/>
      <sheetName val="Industry Sheet &amp; Valuation"/>
      <sheetName val="Data"/>
    </sheetNames>
    <sheetDataSet>
      <sheetData sheetId="0">
        <row r="8">
          <cell r="C8">
            <v>25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099AC-1BB5-1043-A4AA-B147571A7D70}">
  <dimension ref="A1:AR129"/>
  <sheetViews>
    <sheetView showGridLines="0" zoomScale="85" workbookViewId="0">
      <pane xSplit="5" ySplit="4" topLeftCell="F38" activePane="bottomRight" state="frozen"/>
      <selection pane="topRight" activeCell="F1" sqref="F1"/>
      <selection pane="bottomLeft" activeCell="A5" sqref="A5"/>
      <selection pane="bottomRight" activeCell="Z100" sqref="Z100"/>
    </sheetView>
  </sheetViews>
  <sheetFormatPr baseColWidth="10" defaultRowHeight="16" outlineLevelRow="1" outlineLevelCol="1" x14ac:dyDescent="0.2"/>
  <cols>
    <col min="1" max="1" width="15" customWidth="1"/>
    <col min="4" max="4" width="18.5" customWidth="1"/>
    <col min="5" max="5" width="38.83203125" customWidth="1"/>
    <col min="6" max="6" width="12" bestFit="1" customWidth="1"/>
    <col min="7" max="10" width="10.83203125" hidden="1" customWidth="1" outlineLevel="1"/>
    <col min="11" max="11" width="11" bestFit="1" customWidth="1" collapsed="1"/>
    <col min="12" max="15" width="10.83203125" hidden="1" customWidth="1" outlineLevel="1"/>
    <col min="16" max="16" width="11" bestFit="1" customWidth="1" collapsed="1"/>
    <col min="17" max="20" width="0" hidden="1" customWidth="1" outlineLevel="1"/>
    <col min="21" max="21" width="11" bestFit="1" customWidth="1" collapsed="1"/>
    <col min="22" max="25" width="10.83203125" hidden="1" customWidth="1" outlineLevel="1"/>
    <col min="26" max="26" width="11" bestFit="1" customWidth="1" collapsed="1"/>
    <col min="27" max="30" width="10.83203125" hidden="1" customWidth="1" outlineLevel="1"/>
    <col min="31" max="31" width="11" bestFit="1" customWidth="1" collapsed="1"/>
    <col min="32" max="35" width="0" hidden="1" customWidth="1" outlineLevel="1"/>
    <col min="36" max="36" width="11" bestFit="1" customWidth="1" collapsed="1"/>
    <col min="37" max="40" width="10.83203125" hidden="1" customWidth="1" outlineLevel="1"/>
    <col min="41" max="41" width="11" bestFit="1" customWidth="1" collapsed="1"/>
  </cols>
  <sheetData>
    <row r="1" spans="1:44" ht="17" thickBot="1" x14ac:dyDescent="0.25"/>
    <row r="2" spans="1:44" x14ac:dyDescent="0.2">
      <c r="A2" s="2"/>
      <c r="B2" s="2"/>
      <c r="C2" s="2"/>
      <c r="D2" s="2"/>
      <c r="E2" s="126" t="s">
        <v>25</v>
      </c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  <c r="AR2" s="129"/>
    </row>
    <row r="3" spans="1:44" x14ac:dyDescent="0.2">
      <c r="A3" s="2"/>
      <c r="B3" s="2"/>
      <c r="C3" s="2"/>
      <c r="D3" s="2"/>
      <c r="E3" s="7" t="s">
        <v>26</v>
      </c>
      <c r="F3" s="90">
        <v>45064</v>
      </c>
      <c r="G3" s="91">
        <f t="shared" ref="G3:J3" si="0">EOMONTH(F3,3)</f>
        <v>45169</v>
      </c>
      <c r="H3" s="91">
        <f t="shared" si="0"/>
        <v>45260</v>
      </c>
      <c r="I3" s="91">
        <f t="shared" si="0"/>
        <v>45351</v>
      </c>
      <c r="J3" s="91">
        <f t="shared" si="0"/>
        <v>45443</v>
      </c>
      <c r="K3" s="91">
        <f>J3</f>
        <v>45443</v>
      </c>
      <c r="L3" s="91">
        <f t="shared" ref="L3:O3" si="1">EOMONTH(K3,3)</f>
        <v>45535</v>
      </c>
      <c r="M3" s="91">
        <f t="shared" si="1"/>
        <v>45626</v>
      </c>
      <c r="N3" s="91">
        <f t="shared" si="1"/>
        <v>45716</v>
      </c>
      <c r="O3" s="91">
        <f t="shared" si="1"/>
        <v>45808</v>
      </c>
      <c r="P3" s="91">
        <f>O3</f>
        <v>45808</v>
      </c>
      <c r="Q3" s="91">
        <f t="shared" ref="Q3:T3" si="2">EOMONTH(P3,3)</f>
        <v>45900</v>
      </c>
      <c r="R3" s="91">
        <f t="shared" si="2"/>
        <v>45991</v>
      </c>
      <c r="S3" s="91">
        <f t="shared" si="2"/>
        <v>46081</v>
      </c>
      <c r="T3" s="91">
        <f t="shared" si="2"/>
        <v>46173</v>
      </c>
      <c r="U3" s="91">
        <f>T3</f>
        <v>46173</v>
      </c>
      <c r="V3" s="91">
        <f t="shared" ref="V3:Y3" si="3">EOMONTH(U3,3)</f>
        <v>46265</v>
      </c>
      <c r="W3" s="91">
        <f t="shared" si="3"/>
        <v>46356</v>
      </c>
      <c r="X3" s="91">
        <f t="shared" si="3"/>
        <v>46446</v>
      </c>
      <c r="Y3" s="91">
        <f t="shared" si="3"/>
        <v>46538</v>
      </c>
      <c r="Z3" s="92">
        <f>Y3</f>
        <v>46538</v>
      </c>
      <c r="AA3" s="92">
        <f t="shared" ref="AA3:AD3" si="4">EOMONTH(Z3,3)</f>
        <v>46630</v>
      </c>
      <c r="AB3" s="92">
        <f t="shared" si="4"/>
        <v>46721</v>
      </c>
      <c r="AC3" s="92">
        <f t="shared" si="4"/>
        <v>46812</v>
      </c>
      <c r="AD3" s="92">
        <f t="shared" si="4"/>
        <v>46904</v>
      </c>
      <c r="AE3" s="92">
        <f>AD3</f>
        <v>46904</v>
      </c>
      <c r="AF3" s="92">
        <f t="shared" ref="AF3:AI3" si="5">EOMONTH(AE3,3)</f>
        <v>46996</v>
      </c>
      <c r="AG3" s="92">
        <f t="shared" si="5"/>
        <v>47087</v>
      </c>
      <c r="AH3" s="93">
        <f t="shared" si="5"/>
        <v>47177</v>
      </c>
      <c r="AI3" s="93">
        <f t="shared" si="5"/>
        <v>47269</v>
      </c>
      <c r="AJ3" s="94">
        <f>AI3</f>
        <v>47269</v>
      </c>
      <c r="AK3" s="94">
        <f t="shared" ref="AK3:AL3" si="6">EOMONTH(AJ3,3)</f>
        <v>47361</v>
      </c>
      <c r="AL3" s="94">
        <f t="shared" si="6"/>
        <v>47452</v>
      </c>
      <c r="AM3" s="94">
        <f>EOMONTH(AL3,3)</f>
        <v>47542</v>
      </c>
      <c r="AN3" s="94">
        <f>EOMONTH(AM3,3)</f>
        <v>47634</v>
      </c>
      <c r="AO3" s="94">
        <f>AN3</f>
        <v>47634</v>
      </c>
      <c r="AP3" s="94">
        <v>47999</v>
      </c>
      <c r="AQ3" s="94">
        <v>48335</v>
      </c>
      <c r="AR3" s="79">
        <v>48335</v>
      </c>
    </row>
    <row r="4" spans="1:44" ht="17" thickBot="1" x14ac:dyDescent="0.25">
      <c r="A4" s="2"/>
      <c r="B4" s="2"/>
      <c r="D4" s="2"/>
      <c r="E4" s="107" t="s">
        <v>27</v>
      </c>
      <c r="F4" s="108" t="str">
        <f>YEAR(F3)-1&amp;"A"</f>
        <v>2022A</v>
      </c>
      <c r="G4" s="108" t="str">
        <f>"Q1 "&amp; YEAR(G3)</f>
        <v>Q1 2023</v>
      </c>
      <c r="H4" s="108" t="str">
        <f>"Q2 "&amp; YEAR(H3)</f>
        <v>Q2 2023</v>
      </c>
      <c r="I4" s="108" t="str">
        <f>"Q3 "&amp; YEAR(I3)</f>
        <v>Q3 2024</v>
      </c>
      <c r="J4" s="108" t="str">
        <f>"Q4 "&amp; YEAR(J3)-1</f>
        <v>Q4 2023</v>
      </c>
      <c r="K4" s="108" t="str">
        <f>YEAR(K3)-1&amp;"A"</f>
        <v>2023A</v>
      </c>
      <c r="L4" s="108" t="str">
        <f>"Q1 "&amp; YEAR(L3)</f>
        <v>Q1 2024</v>
      </c>
      <c r="M4" s="108" t="str">
        <f>"Q2 "&amp; YEAR(M3)</f>
        <v>Q2 2024</v>
      </c>
      <c r="N4" s="108" t="str">
        <f>"Q3 "&amp; YEAR(N3)</f>
        <v>Q3 2025</v>
      </c>
      <c r="O4" s="108" t="str">
        <f>"Q4 "&amp; YEAR(O3)-1</f>
        <v>Q4 2024</v>
      </c>
      <c r="P4" s="108" t="str">
        <f>YEAR(P3)-1&amp;"A"</f>
        <v>2024A</v>
      </c>
      <c r="Q4" s="108" t="str">
        <f>"Q1 "&amp; YEAR(Q3)</f>
        <v>Q1 2025</v>
      </c>
      <c r="R4" s="108" t="str">
        <f>"Q2 "&amp; YEAR(R3)</f>
        <v>Q2 2025</v>
      </c>
      <c r="S4" s="108" t="str">
        <f>"Q3 "&amp; YEAR(S3)</f>
        <v>Q3 2026</v>
      </c>
      <c r="T4" s="108" t="str">
        <f>"Q4 "&amp; YEAR(T3)-1</f>
        <v>Q4 2025</v>
      </c>
      <c r="U4" s="108" t="str">
        <f>YEAR(U3)-1&amp;"A"</f>
        <v>2025A</v>
      </c>
      <c r="V4" s="108" t="str">
        <f>"Q1 "&amp; YEAR(V3)</f>
        <v>Q1 2026</v>
      </c>
      <c r="W4" s="108" t="str">
        <f>"Q2 "&amp; YEAR(W3)</f>
        <v>Q2 2026</v>
      </c>
      <c r="X4" s="108" t="str">
        <f>"Q3 "&amp; YEAR(X3)</f>
        <v>Q3 2027</v>
      </c>
      <c r="Y4" s="108" t="str">
        <f>"Q4 "&amp; YEAR(Y3)-1</f>
        <v>Q4 2026</v>
      </c>
      <c r="Z4" s="109" t="str">
        <f>YEAR(Z3)-1&amp;"A"</f>
        <v>2026A</v>
      </c>
      <c r="AA4" s="109" t="str">
        <f>"Q1 "&amp; YEAR(AA3)</f>
        <v>Q1 2027</v>
      </c>
      <c r="AB4" s="109" t="str">
        <f>"Q2 "&amp; YEAR(AB3)</f>
        <v>Q2 2027</v>
      </c>
      <c r="AC4" s="109" t="str">
        <f>"Q3 "&amp; YEAR(AC3)</f>
        <v>Q3 2028</v>
      </c>
      <c r="AD4" s="109" t="str">
        <f>"Q4 "&amp; YEAR(AD3)-1</f>
        <v>Q4 2027</v>
      </c>
      <c r="AE4" s="109" t="str">
        <f>YEAR(AE3)-1&amp;"A"</f>
        <v>2027A</v>
      </c>
      <c r="AF4" s="109" t="str">
        <f>"Q1 "&amp; YEAR(AF3)</f>
        <v>Q1 2028</v>
      </c>
      <c r="AG4" s="109" t="str">
        <f>"Q2 "&amp; YEAR(AG3)</f>
        <v>Q2 2028</v>
      </c>
      <c r="AH4" s="110" t="str">
        <f>"Q3 "&amp; YEAR(AH3)</f>
        <v>Q3 2029</v>
      </c>
      <c r="AI4" s="110" t="str">
        <f>"Q4 "&amp; YEAR(AI3)-1</f>
        <v>Q4 2028</v>
      </c>
      <c r="AJ4" s="111" t="str">
        <f>YEAR(AJ3)-1&amp;"E"</f>
        <v>2028E</v>
      </c>
      <c r="AK4" s="111" t="str">
        <f>"Q1 "&amp; YEAR(AK3)</f>
        <v>Q1 2029</v>
      </c>
      <c r="AL4" s="111" t="str">
        <f>"Q2 "&amp; YEAR(AL3)</f>
        <v>Q2 2029</v>
      </c>
      <c r="AM4" s="111" t="str">
        <f>"Q3 "&amp; YEAR(AM3)</f>
        <v>Q3 2030</v>
      </c>
      <c r="AN4" s="111" t="str">
        <f>"Q4 "&amp; YEAR(AN3)-1</f>
        <v>Q4 2029</v>
      </c>
      <c r="AO4" s="111" t="str">
        <f>YEAR(AO3)-1&amp;"E"</f>
        <v>2029E</v>
      </c>
      <c r="AP4" s="111" t="str">
        <f>YEAR(AP3)-1&amp;"E"</f>
        <v>2030E</v>
      </c>
      <c r="AQ4" s="111" t="str">
        <f t="shared" ref="AQ4:AR4" si="7">YEAR(AQ3)-1&amp;"E"</f>
        <v>2031E</v>
      </c>
      <c r="AR4" s="112" t="str">
        <f t="shared" si="7"/>
        <v>2031E</v>
      </c>
    </row>
    <row r="5" spans="1:44" x14ac:dyDescent="0.2">
      <c r="A5" s="177" t="s">
        <v>2</v>
      </c>
      <c r="B5" s="177"/>
      <c r="C5" s="177"/>
      <c r="D5" s="177"/>
      <c r="E5" s="130" t="s">
        <v>28</v>
      </c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31"/>
      <c r="AI5" s="131"/>
      <c r="AJ5" s="131"/>
      <c r="AK5" s="131"/>
      <c r="AL5" s="131"/>
      <c r="AM5" s="131"/>
      <c r="AN5" s="131"/>
      <c r="AO5" s="131"/>
      <c r="AP5" s="131"/>
      <c r="AQ5" s="131"/>
      <c r="AR5" s="132"/>
    </row>
    <row r="6" spans="1:44" x14ac:dyDescent="0.2">
      <c r="A6" s="3" t="s">
        <v>22</v>
      </c>
      <c r="B6" s="2"/>
      <c r="C6" s="2"/>
      <c r="D6" s="4" t="s">
        <v>29</v>
      </c>
      <c r="E6" s="7" t="s">
        <v>5</v>
      </c>
      <c r="F6" s="14">
        <f>Segment!F8</f>
        <v>2369</v>
      </c>
      <c r="G6" s="14">
        <f>Segment!G8</f>
        <v>0</v>
      </c>
      <c r="H6" s="14">
        <f>Segment!H8</f>
        <v>0</v>
      </c>
      <c r="I6" s="14">
        <f>Segment!I8</f>
        <v>0</v>
      </c>
      <c r="J6" s="14">
        <f>Segment!J8</f>
        <v>0</v>
      </c>
      <c r="K6" s="14">
        <f>Segment!K8</f>
        <v>2543</v>
      </c>
      <c r="L6" s="14">
        <f>Segment!L8</f>
        <v>0</v>
      </c>
      <c r="M6" s="14">
        <f>Segment!M8</f>
        <v>0</v>
      </c>
      <c r="N6" s="14">
        <f>Segment!N8</f>
        <v>0</v>
      </c>
      <c r="O6" s="14">
        <f>Segment!O8</f>
        <v>0</v>
      </c>
      <c r="P6" s="14">
        <f>Segment!P8</f>
        <v>2739</v>
      </c>
      <c r="Q6" s="14">
        <f>Segment!Q8</f>
        <v>0</v>
      </c>
      <c r="R6" s="14">
        <f>Segment!R8</f>
        <v>0</v>
      </c>
      <c r="S6" s="14">
        <f>Segment!S8</f>
        <v>0</v>
      </c>
      <c r="T6" s="14">
        <f>Segment!T8</f>
        <v>0</v>
      </c>
      <c r="U6" s="14">
        <f>Segment!U8</f>
        <v>2923</v>
      </c>
      <c r="V6" s="14">
        <f>Segment!V8</f>
        <v>0</v>
      </c>
      <c r="W6" s="14">
        <f>Segment!W8</f>
        <v>0</v>
      </c>
      <c r="X6" s="14">
        <f>Segment!X8</f>
        <v>0</v>
      </c>
      <c r="Y6" s="14">
        <f>Segment!Y8</f>
        <v>0</v>
      </c>
      <c r="Z6" s="14">
        <f>Segment!Z8</f>
        <v>3135.1131815228919</v>
      </c>
      <c r="AA6" s="14">
        <f>Segment!AA8</f>
        <v>0</v>
      </c>
      <c r="AB6" s="14">
        <f>Segment!AB8</f>
        <v>0</v>
      </c>
      <c r="AC6" s="14">
        <f>Segment!AC8</f>
        <v>0</v>
      </c>
      <c r="AD6" s="14">
        <f>Segment!AD8</f>
        <v>0</v>
      </c>
      <c r="AE6" s="14">
        <f>Segment!AE8</f>
        <v>3291.8688405990365</v>
      </c>
      <c r="AF6" s="14">
        <f>Segment!AF8</f>
        <v>0</v>
      </c>
      <c r="AG6" s="14">
        <f>Segment!AG8</f>
        <v>0</v>
      </c>
      <c r="AH6" s="14">
        <f>Segment!AH8</f>
        <v>0</v>
      </c>
      <c r="AI6" s="14">
        <f>Segment!AI8</f>
        <v>0</v>
      </c>
      <c r="AJ6" s="14">
        <f>Segment!AJ8</f>
        <v>3456.4622826289883</v>
      </c>
      <c r="AK6" s="14">
        <f>Segment!AK8</f>
        <v>0</v>
      </c>
      <c r="AL6" s="14">
        <f>Segment!AL8</f>
        <v>0</v>
      </c>
      <c r="AM6" s="14">
        <f>Segment!AM8</f>
        <v>0</v>
      </c>
      <c r="AN6" s="14">
        <f>Segment!AN8</f>
        <v>0</v>
      </c>
      <c r="AO6" s="14">
        <f>Segment!AO8</f>
        <v>3629.2853967604378</v>
      </c>
      <c r="AP6" s="14">
        <f>Segment!AP8</f>
        <v>3738.1639586632509</v>
      </c>
      <c r="AQ6" s="14">
        <f>Segment!AQ8</f>
        <v>3850.3088774231487</v>
      </c>
      <c r="AR6" s="15">
        <f>Segment!AR8</f>
        <v>3965.8181437458434</v>
      </c>
    </row>
    <row r="7" spans="1:44" x14ac:dyDescent="0.2">
      <c r="A7" s="3" t="s">
        <v>23</v>
      </c>
      <c r="B7" s="2"/>
      <c r="C7" s="2"/>
      <c r="D7" s="4" t="s">
        <v>30</v>
      </c>
      <c r="E7" s="7" t="s">
        <v>31</v>
      </c>
      <c r="F7" s="3" t="s">
        <v>12</v>
      </c>
      <c r="G7" s="2"/>
      <c r="H7" s="2"/>
      <c r="I7" s="2"/>
      <c r="J7" s="2"/>
      <c r="K7" s="50">
        <f>Segment!K9</f>
        <v>7.3448712536935412E-2</v>
      </c>
      <c r="L7" s="50" t="e">
        <f>Segment!L9</f>
        <v>#DIV/0!</v>
      </c>
      <c r="M7" s="50" t="e">
        <f>Segment!M9</f>
        <v>#DIV/0!</v>
      </c>
      <c r="N7" s="50" t="e">
        <f>Segment!N9</f>
        <v>#DIV/0!</v>
      </c>
      <c r="O7" s="50" t="e">
        <f>Segment!O9</f>
        <v>#DIV/0!</v>
      </c>
      <c r="P7" s="50">
        <f>Segment!P9</f>
        <v>7.7074321667321977E-2</v>
      </c>
      <c r="Q7" s="50" t="e">
        <f>Segment!Q9</f>
        <v>#DIV/0!</v>
      </c>
      <c r="R7" s="50" t="e">
        <f>Segment!R9</f>
        <v>#DIV/0!</v>
      </c>
      <c r="S7" s="50" t="e">
        <f>Segment!S9</f>
        <v>#DIV/0!</v>
      </c>
      <c r="T7" s="50" t="e">
        <f>Segment!T9</f>
        <v>#DIV/0!</v>
      </c>
      <c r="U7" s="50">
        <f>Segment!U9</f>
        <v>6.7177802117561081E-2</v>
      </c>
      <c r="V7" s="50" t="e">
        <f>Segment!V9</f>
        <v>#DIV/0!</v>
      </c>
      <c r="W7" s="50" t="e">
        <f>Segment!W9</f>
        <v>#DIV/0!</v>
      </c>
      <c r="X7" s="50" t="e">
        <f>Segment!X9</f>
        <v>#DIV/0!</v>
      </c>
      <c r="Y7" s="50" t="e">
        <f>Segment!Y9</f>
        <v>#DIV/0!</v>
      </c>
      <c r="Z7" s="50">
        <f>Segment!Z9</f>
        <v>7.2566945440606156E-2</v>
      </c>
      <c r="AA7" s="50">
        <f>Segment!AA9</f>
        <v>0</v>
      </c>
      <c r="AB7" s="50">
        <f>Segment!AB9</f>
        <v>0</v>
      </c>
      <c r="AC7" s="50">
        <f>Segment!AC9</f>
        <v>0</v>
      </c>
      <c r="AD7" s="50">
        <f>Segment!AD9</f>
        <v>0</v>
      </c>
      <c r="AE7" s="50">
        <f>Segment!AE9</f>
        <v>0.05</v>
      </c>
      <c r="AF7" s="50">
        <f>Segment!AF9</f>
        <v>0</v>
      </c>
      <c r="AG7" s="50">
        <f>Segment!AG9</f>
        <v>0</v>
      </c>
      <c r="AH7" s="50">
        <f>Segment!AH9</f>
        <v>0</v>
      </c>
      <c r="AI7" s="50">
        <f>Segment!AI9</f>
        <v>0</v>
      </c>
      <c r="AJ7" s="50">
        <f>Segment!AJ9</f>
        <v>0.05</v>
      </c>
      <c r="AK7" s="50">
        <f>Segment!AK9</f>
        <v>0</v>
      </c>
      <c r="AL7" s="50">
        <f>Segment!AL9</f>
        <v>0</v>
      </c>
      <c r="AM7" s="50">
        <f>Segment!AM9</f>
        <v>0</v>
      </c>
      <c r="AN7" s="50">
        <f>Segment!AN9</f>
        <v>0</v>
      </c>
      <c r="AO7" s="50">
        <f>Segment!AO9</f>
        <v>0.05</v>
      </c>
      <c r="AP7" s="50">
        <f>Segment!AP9</f>
        <v>0.03</v>
      </c>
      <c r="AQ7" s="50">
        <f>Segment!AQ9</f>
        <v>0.03</v>
      </c>
      <c r="AR7" s="30">
        <f>Segment!AR9</f>
        <v>0.03</v>
      </c>
    </row>
    <row r="8" spans="1:44" x14ac:dyDescent="0.2">
      <c r="A8" s="3" t="s">
        <v>24</v>
      </c>
      <c r="B8" s="2"/>
      <c r="C8" s="2"/>
      <c r="D8" s="5">
        <v>16.82</v>
      </c>
      <c r="E8" s="7" t="s">
        <v>10</v>
      </c>
      <c r="F8" s="14">
        <f>Segment!F13</f>
        <v>681</v>
      </c>
      <c r="G8" s="14">
        <f>Segment!G13</f>
        <v>0</v>
      </c>
      <c r="H8" s="14">
        <f>Segment!H13</f>
        <v>0</v>
      </c>
      <c r="I8" s="14">
        <f>Segment!I13</f>
        <v>0</v>
      </c>
      <c r="J8" s="14">
        <f>Segment!J13</f>
        <v>0</v>
      </c>
      <c r="K8" s="14">
        <f>Segment!K13</f>
        <v>836</v>
      </c>
      <c r="L8" s="14">
        <f>Segment!L13</f>
        <v>0</v>
      </c>
      <c r="M8" s="14">
        <f>Segment!M13</f>
        <v>0</v>
      </c>
      <c r="N8" s="14">
        <f>Segment!N13</f>
        <v>0</v>
      </c>
      <c r="O8" s="14">
        <f>Segment!O13</f>
        <v>0</v>
      </c>
      <c r="P8" s="14">
        <f>Segment!P13</f>
        <v>1209</v>
      </c>
      <c r="Q8" s="14">
        <f>Segment!Q13</f>
        <v>0</v>
      </c>
      <c r="R8" s="14">
        <f>Segment!R13</f>
        <v>0</v>
      </c>
      <c r="S8" s="14">
        <f>Segment!S13</f>
        <v>0</v>
      </c>
      <c r="T8" s="14">
        <f>Segment!T13</f>
        <v>0</v>
      </c>
      <c r="U8" s="14">
        <f>Segment!U13</f>
        <v>1284</v>
      </c>
      <c r="V8" s="14">
        <f>Segment!V13</f>
        <v>0</v>
      </c>
      <c r="W8" s="14">
        <f>Segment!W13</f>
        <v>0</v>
      </c>
      <c r="X8" s="14">
        <f>Segment!X13</f>
        <v>0</v>
      </c>
      <c r="Y8" s="14">
        <f>Segment!Y13</f>
        <v>0</v>
      </c>
      <c r="Z8" s="14">
        <f>Segment!Z13</f>
        <v>1361.04</v>
      </c>
      <c r="AA8" s="14">
        <f>Segment!AA13</f>
        <v>0</v>
      </c>
      <c r="AB8" s="14">
        <f>Segment!AB13</f>
        <v>0</v>
      </c>
      <c r="AC8" s="14">
        <f>Segment!AC13</f>
        <v>0</v>
      </c>
      <c r="AD8" s="14">
        <f>Segment!AD13</f>
        <v>0</v>
      </c>
      <c r="AE8" s="14">
        <f>Segment!AE13</f>
        <v>1415.4816000000001</v>
      </c>
      <c r="AF8" s="14">
        <f>Segment!AF13</f>
        <v>0</v>
      </c>
      <c r="AG8" s="14">
        <f>Segment!AG13</f>
        <v>0</v>
      </c>
      <c r="AH8" s="14">
        <f>Segment!AH13</f>
        <v>0</v>
      </c>
      <c r="AI8" s="14">
        <f>Segment!AI13</f>
        <v>0</v>
      </c>
      <c r="AJ8" s="14">
        <f>Segment!AJ13</f>
        <v>1472.1008640000002</v>
      </c>
      <c r="AK8" s="14">
        <f>Segment!AK13</f>
        <v>0</v>
      </c>
      <c r="AL8" s="14">
        <f>Segment!AL13</f>
        <v>0</v>
      </c>
      <c r="AM8" s="14">
        <f>Segment!AM13</f>
        <v>0</v>
      </c>
      <c r="AN8" s="14">
        <f>Segment!AN13</f>
        <v>0</v>
      </c>
      <c r="AO8" s="14">
        <f>Segment!AO13</f>
        <v>1530.9848985600004</v>
      </c>
      <c r="AP8" s="14">
        <f>Segment!AP13</f>
        <v>1561.6045965312005</v>
      </c>
      <c r="AQ8" s="14">
        <f>Segment!AQ13</f>
        <v>1592.8366884618245</v>
      </c>
      <c r="AR8" s="15">
        <f>Segment!AR13</f>
        <v>1624.693422231061</v>
      </c>
    </row>
    <row r="9" spans="1:44" x14ac:dyDescent="0.2">
      <c r="A9" s="2"/>
      <c r="B9" s="2"/>
      <c r="C9" s="2"/>
      <c r="D9" s="2"/>
      <c r="E9" s="7" t="s">
        <v>31</v>
      </c>
      <c r="F9" s="76" t="str">
        <f>Segment!F9</f>
        <v>-</v>
      </c>
      <c r="G9" s="17">
        <f>Segment!G9</f>
        <v>0</v>
      </c>
      <c r="H9" s="17">
        <f>Segment!H9</f>
        <v>0</v>
      </c>
      <c r="I9" s="17">
        <f>Segment!I9</f>
        <v>0</v>
      </c>
      <c r="J9" s="17">
        <f>Segment!J9</f>
        <v>0</v>
      </c>
      <c r="K9" s="17">
        <f>Segment!K9</f>
        <v>7.3448712536935412E-2</v>
      </c>
      <c r="L9" s="17" t="e">
        <f>Segment!L9</f>
        <v>#DIV/0!</v>
      </c>
      <c r="M9" s="17" t="e">
        <f>Segment!M9</f>
        <v>#DIV/0!</v>
      </c>
      <c r="N9" s="17" t="e">
        <f>Segment!N9</f>
        <v>#DIV/0!</v>
      </c>
      <c r="O9" s="17" t="e">
        <f>Segment!O9</f>
        <v>#DIV/0!</v>
      </c>
      <c r="P9" s="17">
        <f>Segment!P9</f>
        <v>7.7074321667321977E-2</v>
      </c>
      <c r="Q9" s="17" t="e">
        <f>Segment!Q9</f>
        <v>#DIV/0!</v>
      </c>
      <c r="R9" s="17" t="e">
        <f>Segment!R9</f>
        <v>#DIV/0!</v>
      </c>
      <c r="S9" s="17" t="e">
        <f>Segment!S9</f>
        <v>#DIV/0!</v>
      </c>
      <c r="T9" s="17" t="e">
        <f>Segment!T9</f>
        <v>#DIV/0!</v>
      </c>
      <c r="U9" s="17">
        <f>Segment!U9</f>
        <v>6.7177802117561081E-2</v>
      </c>
      <c r="V9" s="17" t="e">
        <f>Segment!V9</f>
        <v>#DIV/0!</v>
      </c>
      <c r="W9" s="17" t="e">
        <f>Segment!W9</f>
        <v>#DIV/0!</v>
      </c>
      <c r="X9" s="17" t="e">
        <f>Segment!X9</f>
        <v>#DIV/0!</v>
      </c>
      <c r="Y9" s="17" t="e">
        <f>Segment!Y9</f>
        <v>#DIV/0!</v>
      </c>
      <c r="Z9" s="17">
        <f>Segment!Z9</f>
        <v>7.2566945440606156E-2</v>
      </c>
      <c r="AA9" s="17">
        <f>Segment!AA9</f>
        <v>0</v>
      </c>
      <c r="AB9" s="17">
        <f>Segment!AB9</f>
        <v>0</v>
      </c>
      <c r="AC9" s="17">
        <f>Segment!AC9</f>
        <v>0</v>
      </c>
      <c r="AD9" s="17">
        <f>Segment!AD9</f>
        <v>0</v>
      </c>
      <c r="AE9" s="17">
        <f>Segment!AE9</f>
        <v>0.05</v>
      </c>
      <c r="AF9" s="17">
        <f>Segment!AF9</f>
        <v>0</v>
      </c>
      <c r="AG9" s="17">
        <f>Segment!AG9</f>
        <v>0</v>
      </c>
      <c r="AH9" s="17">
        <f>Segment!AH9</f>
        <v>0</v>
      </c>
      <c r="AI9" s="17">
        <f>Segment!AI9</f>
        <v>0</v>
      </c>
      <c r="AJ9" s="17">
        <f>Segment!AJ9</f>
        <v>0.05</v>
      </c>
      <c r="AK9" s="17">
        <f>Segment!AK9</f>
        <v>0</v>
      </c>
      <c r="AL9" s="17">
        <f>Segment!AL9</f>
        <v>0</v>
      </c>
      <c r="AM9" s="17">
        <f>Segment!AM9</f>
        <v>0</v>
      </c>
      <c r="AN9" s="17">
        <f>Segment!AN9</f>
        <v>0</v>
      </c>
      <c r="AO9" s="17">
        <f>Segment!AO9</f>
        <v>0.05</v>
      </c>
      <c r="AP9" s="17">
        <f>Segment!AP9</f>
        <v>0.03</v>
      </c>
      <c r="AQ9" s="17">
        <f>Segment!AQ9</f>
        <v>0.03</v>
      </c>
      <c r="AR9" s="18">
        <f>Segment!AR9</f>
        <v>0.03</v>
      </c>
    </row>
    <row r="10" spans="1:44" x14ac:dyDescent="0.2">
      <c r="A10" s="2"/>
      <c r="B10" s="2"/>
      <c r="C10" s="2"/>
      <c r="D10" s="2"/>
      <c r="E10" s="7" t="s">
        <v>11</v>
      </c>
      <c r="F10" s="14">
        <f>Segment!F18</f>
        <v>718</v>
      </c>
      <c r="G10" s="14">
        <f>Segment!G18</f>
        <v>0</v>
      </c>
      <c r="H10" s="14">
        <f>Segment!H18</f>
        <v>0</v>
      </c>
      <c r="I10" s="14">
        <f>Segment!I18</f>
        <v>0</v>
      </c>
      <c r="J10" s="14">
        <f>Segment!J18</f>
        <v>0</v>
      </c>
      <c r="K10" s="14">
        <f>Segment!K18</f>
        <v>767</v>
      </c>
      <c r="L10" s="14">
        <f>Segment!L18</f>
        <v>0</v>
      </c>
      <c r="M10" s="14">
        <f>Segment!M18</f>
        <v>0</v>
      </c>
      <c r="N10" s="14">
        <f>Segment!N18</f>
        <v>0</v>
      </c>
      <c r="O10" s="14">
        <f>Segment!O18</f>
        <v>0</v>
      </c>
      <c r="P10" s="14">
        <f>Segment!P18</f>
        <v>843</v>
      </c>
      <c r="Q10" s="14">
        <f>Segment!Q18</f>
        <v>0</v>
      </c>
      <c r="R10" s="14">
        <f>Segment!R18</f>
        <v>0</v>
      </c>
      <c r="S10" s="14">
        <f>Segment!S18</f>
        <v>0</v>
      </c>
      <c r="T10" s="14">
        <f>Segment!T18</f>
        <v>0</v>
      </c>
      <c r="U10" s="14">
        <f>Segment!U18</f>
        <v>894</v>
      </c>
      <c r="V10" s="14">
        <f>Segment!V18</f>
        <v>0</v>
      </c>
      <c r="W10" s="14">
        <f>Segment!W18</f>
        <v>0</v>
      </c>
      <c r="X10" s="14">
        <f>Segment!X18</f>
        <v>0</v>
      </c>
      <c r="Y10" s="14">
        <f>Segment!Y18</f>
        <v>0</v>
      </c>
      <c r="Z10" s="14">
        <f>Segment!Z18</f>
        <v>961.89354839539328</v>
      </c>
      <c r="AA10" s="14">
        <f>Segment!AA18</f>
        <v>0</v>
      </c>
      <c r="AB10" s="14">
        <f>Segment!AB18</f>
        <v>0</v>
      </c>
      <c r="AC10" s="14">
        <f>Segment!AC18</f>
        <v>0</v>
      </c>
      <c r="AD10" s="14">
        <f>Segment!AD18</f>
        <v>0</v>
      </c>
      <c r="AE10" s="14">
        <f>Segment!AE18</f>
        <v>1019.6071612991169</v>
      </c>
      <c r="AF10" s="14">
        <f>Segment!AF18</f>
        <v>0</v>
      </c>
      <c r="AG10" s="14">
        <f>Segment!AG18</f>
        <v>0</v>
      </c>
      <c r="AH10" s="14">
        <f>Segment!AH18</f>
        <v>0</v>
      </c>
      <c r="AI10" s="14">
        <f>Segment!AI18</f>
        <v>0</v>
      </c>
      <c r="AJ10" s="14">
        <f>Segment!AJ18</f>
        <v>1080.783590977064</v>
      </c>
      <c r="AK10" s="14">
        <f>Segment!AK18</f>
        <v>0</v>
      </c>
      <c r="AL10" s="14">
        <f>Segment!AL18</f>
        <v>0</v>
      </c>
      <c r="AM10" s="14">
        <f>Segment!AM18</f>
        <v>0</v>
      </c>
      <c r="AN10" s="14">
        <f>Segment!AN18</f>
        <v>0</v>
      </c>
      <c r="AO10" s="14">
        <f>Segment!AO18</f>
        <v>1145.6306064356879</v>
      </c>
      <c r="AP10" s="14">
        <f>Segment!AP18</f>
        <v>1191.4558306931156</v>
      </c>
      <c r="AQ10" s="14">
        <f>Segment!AQ18</f>
        <v>1239.1140639208402</v>
      </c>
      <c r="AR10" s="15">
        <f>Segment!AR18</f>
        <v>1288.6786264776738</v>
      </c>
    </row>
    <row r="11" spans="1:44" x14ac:dyDescent="0.2">
      <c r="A11" s="2"/>
      <c r="B11" s="2"/>
      <c r="C11" s="2"/>
      <c r="D11" s="2"/>
      <c r="E11" s="7" t="s">
        <v>31</v>
      </c>
      <c r="F11" s="76" t="str">
        <f>Segment!F19</f>
        <v>-</v>
      </c>
      <c r="G11" s="17">
        <f>Segment!G19</f>
        <v>0</v>
      </c>
      <c r="H11" s="17">
        <f>Segment!H19</f>
        <v>0</v>
      </c>
      <c r="I11" s="17">
        <f>Segment!I19</f>
        <v>0</v>
      </c>
      <c r="J11" s="17">
        <f>Segment!J19</f>
        <v>0</v>
      </c>
      <c r="K11" s="17">
        <f>Segment!K19</f>
        <v>6.8245125348189495E-2</v>
      </c>
      <c r="L11" s="17" t="e">
        <f>Segment!L19</f>
        <v>#DIV/0!</v>
      </c>
      <c r="M11" s="17" t="e">
        <f>Segment!M19</f>
        <v>#DIV/0!</v>
      </c>
      <c r="N11" s="17" t="e">
        <f>Segment!N19</f>
        <v>#DIV/0!</v>
      </c>
      <c r="O11" s="17" t="e">
        <f>Segment!O19</f>
        <v>#DIV/0!</v>
      </c>
      <c r="P11" s="17">
        <f>Segment!P19</f>
        <v>9.9087353324641469E-2</v>
      </c>
      <c r="Q11" s="17" t="e">
        <f>Segment!Q19</f>
        <v>#DIV/0!</v>
      </c>
      <c r="R11" s="17" t="e">
        <f>Segment!R19</f>
        <v>#DIV/0!</v>
      </c>
      <c r="S11" s="17" t="e">
        <f>Segment!S19</f>
        <v>#DIV/0!</v>
      </c>
      <c r="T11" s="17" t="e">
        <f>Segment!T19</f>
        <v>#DIV/0!</v>
      </c>
      <c r="U11" s="17">
        <f>Segment!U19</f>
        <v>6.0498220640569311E-2</v>
      </c>
      <c r="V11" s="17" t="e">
        <f>Segment!V19</f>
        <v>#DIV/0!</v>
      </c>
      <c r="W11" s="17" t="e">
        <f>Segment!W19</f>
        <v>#DIV/0!</v>
      </c>
      <c r="X11" s="17" t="e">
        <f>Segment!X19</f>
        <v>#DIV/0!</v>
      </c>
      <c r="Y11" s="17" t="e">
        <f>Segment!Y19</f>
        <v>#DIV/0!</v>
      </c>
      <c r="Z11" s="17">
        <f>Segment!Z19</f>
        <v>7.5943566437800092E-2</v>
      </c>
      <c r="AA11" s="17">
        <f>Segment!AA19</f>
        <v>0</v>
      </c>
      <c r="AB11" s="17">
        <f>Segment!AB19</f>
        <v>0</v>
      </c>
      <c r="AC11" s="17">
        <f>Segment!AC19</f>
        <v>0</v>
      </c>
      <c r="AD11" s="17">
        <f>Segment!AD19</f>
        <v>0</v>
      </c>
      <c r="AE11" s="17">
        <f>Segment!AE19</f>
        <v>0.06</v>
      </c>
      <c r="AF11" s="17">
        <f>Segment!AF19</f>
        <v>0.06</v>
      </c>
      <c r="AG11" s="17">
        <f>Segment!AG19</f>
        <v>0.06</v>
      </c>
      <c r="AH11" s="17">
        <f>Segment!AH19</f>
        <v>0.06</v>
      </c>
      <c r="AI11" s="17">
        <f>Segment!AI19</f>
        <v>0.06</v>
      </c>
      <c r="AJ11" s="17">
        <f>Segment!AJ19</f>
        <v>0.06</v>
      </c>
      <c r="AK11" s="17">
        <f>Segment!AK19</f>
        <v>0.06</v>
      </c>
      <c r="AL11" s="17">
        <f>Segment!AL19</f>
        <v>0.06</v>
      </c>
      <c r="AM11" s="17">
        <f>Segment!AM19</f>
        <v>0.06</v>
      </c>
      <c r="AN11" s="17">
        <f>Segment!AN19</f>
        <v>0.06</v>
      </c>
      <c r="AO11" s="17">
        <f>Segment!AO19</f>
        <v>0.06</v>
      </c>
      <c r="AP11" s="17">
        <f>Segment!AP19</f>
        <v>0.04</v>
      </c>
      <c r="AQ11" s="17">
        <f>Segment!AQ19</f>
        <v>0.04</v>
      </c>
      <c r="AR11" s="18">
        <f>Segment!AR19</f>
        <v>0.04</v>
      </c>
    </row>
    <row r="12" spans="1:44" x14ac:dyDescent="0.2">
      <c r="A12" s="2"/>
      <c r="B12" s="2"/>
      <c r="C12" s="2"/>
      <c r="D12" s="2"/>
      <c r="E12" s="130" t="s">
        <v>32</v>
      </c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1"/>
      <c r="AK12" s="131"/>
      <c r="AL12" s="131"/>
      <c r="AM12" s="131"/>
      <c r="AN12" s="131"/>
      <c r="AO12" s="131"/>
      <c r="AP12" s="131"/>
      <c r="AQ12" s="131"/>
      <c r="AR12" s="132"/>
    </row>
    <row r="13" spans="1:44" x14ac:dyDescent="0.2">
      <c r="A13" s="2"/>
      <c r="B13" s="2"/>
      <c r="C13" s="2"/>
      <c r="D13" s="2"/>
      <c r="E13" s="31" t="s">
        <v>33</v>
      </c>
      <c r="F13" s="14">
        <f>Segment!F6</f>
        <v>3768</v>
      </c>
      <c r="G13" s="14">
        <f>Segment!G6</f>
        <v>0</v>
      </c>
      <c r="H13" s="14">
        <f>Segment!H6</f>
        <v>0</v>
      </c>
      <c r="I13" s="14">
        <f>Segment!I6</f>
        <v>0</v>
      </c>
      <c r="J13" s="14">
        <f>Segment!J6</f>
        <v>0</v>
      </c>
      <c r="K13" s="14">
        <f>Segment!K6</f>
        <v>4146</v>
      </c>
      <c r="L13" s="14">
        <f>Segment!L6</f>
        <v>0</v>
      </c>
      <c r="M13" s="14">
        <f>Segment!M6</f>
        <v>0</v>
      </c>
      <c r="N13" s="14">
        <f>Segment!N6</f>
        <v>0</v>
      </c>
      <c r="O13" s="14">
        <f>Segment!O6</f>
        <v>0</v>
      </c>
      <c r="P13" s="14">
        <f>Segment!P6</f>
        <v>4791</v>
      </c>
      <c r="Q13" s="14">
        <f>Segment!Q6</f>
        <v>0</v>
      </c>
      <c r="R13" s="14">
        <f>Segment!R6</f>
        <v>0</v>
      </c>
      <c r="S13" s="14">
        <f>Segment!S6</f>
        <v>0</v>
      </c>
      <c r="T13" s="14">
        <f>Segment!T6</f>
        <v>0</v>
      </c>
      <c r="U13" s="14">
        <f>Segment!U6</f>
        <v>5101</v>
      </c>
      <c r="V13" s="14">
        <f>Segment!V6</f>
        <v>0</v>
      </c>
      <c r="W13" s="14">
        <f>Segment!W6</f>
        <v>0</v>
      </c>
      <c r="X13" s="14">
        <f>Segment!X6</f>
        <v>0</v>
      </c>
      <c r="Y13" s="14">
        <f>Segment!Y6</f>
        <v>0</v>
      </c>
      <c r="Z13" s="14">
        <f>Segment!Z6</f>
        <v>5458.0467299182856</v>
      </c>
      <c r="AA13" s="14">
        <f>Segment!AA6</f>
        <v>0</v>
      </c>
      <c r="AB13" s="14">
        <f>Segment!AB6</f>
        <v>0</v>
      </c>
      <c r="AC13" s="14">
        <f>Segment!AC6</f>
        <v>0</v>
      </c>
      <c r="AD13" s="14">
        <f>Segment!AD6</f>
        <v>0</v>
      </c>
      <c r="AE13" s="14">
        <f>Segment!AE6</f>
        <v>5726.9576018981543</v>
      </c>
      <c r="AF13" s="14">
        <f>Segment!AF6</f>
        <v>0</v>
      </c>
      <c r="AG13" s="14">
        <f>Segment!AG6</f>
        <v>0</v>
      </c>
      <c r="AH13" s="14">
        <f>Segment!AH6</f>
        <v>0</v>
      </c>
      <c r="AI13" s="14">
        <f>Segment!AI6</f>
        <v>0</v>
      </c>
      <c r="AJ13" s="14">
        <f>Segment!AJ6</f>
        <v>6009.3467376060526</v>
      </c>
      <c r="AK13" s="14">
        <f>Segment!AK6</f>
        <v>0</v>
      </c>
      <c r="AL13" s="14">
        <f>Segment!AL6</f>
        <v>0</v>
      </c>
      <c r="AM13" s="14">
        <f>Segment!AM6</f>
        <v>0</v>
      </c>
      <c r="AN13" s="14">
        <f>Segment!AN6</f>
        <v>0</v>
      </c>
      <c r="AO13" s="14">
        <f>Segment!AO6</f>
        <v>6305.9009017561257</v>
      </c>
      <c r="AP13" s="14">
        <f>Segment!AP6</f>
        <v>6491.2243858875672</v>
      </c>
      <c r="AQ13" s="14">
        <f>Segment!AQ6</f>
        <v>6682.2596298058143</v>
      </c>
      <c r="AR13" s="15">
        <f>Segment!AR6</f>
        <v>6879.1901924545782</v>
      </c>
    </row>
    <row r="14" spans="1:44" x14ac:dyDescent="0.2">
      <c r="A14" s="2"/>
      <c r="B14" s="2"/>
      <c r="C14" s="2"/>
      <c r="D14" s="2"/>
      <c r="E14" s="16" t="s">
        <v>34</v>
      </c>
      <c r="F14" s="95" t="s">
        <v>12</v>
      </c>
      <c r="G14" s="2"/>
      <c r="H14" s="2"/>
      <c r="I14" s="2"/>
      <c r="J14" s="2"/>
      <c r="K14" s="17">
        <f>K13/F13-1</f>
        <v>0.10031847133757954</v>
      </c>
      <c r="L14" s="17" t="e">
        <f t="shared" ref="L14:AO14" si="8">L13/G13-1</f>
        <v>#DIV/0!</v>
      </c>
      <c r="M14" s="17" t="e">
        <f t="shared" si="8"/>
        <v>#DIV/0!</v>
      </c>
      <c r="N14" s="17" t="e">
        <f t="shared" si="8"/>
        <v>#DIV/0!</v>
      </c>
      <c r="O14" s="17" t="e">
        <f t="shared" si="8"/>
        <v>#DIV/0!</v>
      </c>
      <c r="P14" s="17">
        <f t="shared" si="8"/>
        <v>0.15557163531114337</v>
      </c>
      <c r="Q14" s="17" t="e">
        <f t="shared" si="8"/>
        <v>#DIV/0!</v>
      </c>
      <c r="R14" s="17" t="e">
        <f t="shared" si="8"/>
        <v>#DIV/0!</v>
      </c>
      <c r="S14" s="17" t="e">
        <f t="shared" si="8"/>
        <v>#DIV/0!</v>
      </c>
      <c r="T14" s="17" t="e">
        <f t="shared" si="8"/>
        <v>#DIV/0!</v>
      </c>
      <c r="U14" s="17">
        <f t="shared" si="8"/>
        <v>6.4704654560634456E-2</v>
      </c>
      <c r="V14" s="17" t="e">
        <f t="shared" si="8"/>
        <v>#DIV/0!</v>
      </c>
      <c r="W14" s="17" t="e">
        <f t="shared" si="8"/>
        <v>#DIV/0!</v>
      </c>
      <c r="X14" s="17" t="e">
        <f t="shared" si="8"/>
        <v>#DIV/0!</v>
      </c>
      <c r="Y14" s="17" t="e">
        <f t="shared" si="8"/>
        <v>#DIV/0!</v>
      </c>
      <c r="Z14" s="17">
        <f t="shared" si="8"/>
        <v>6.9995438133363175E-2</v>
      </c>
      <c r="AA14" s="17" t="e">
        <f t="shared" si="8"/>
        <v>#DIV/0!</v>
      </c>
      <c r="AB14" s="17" t="e">
        <f t="shared" si="8"/>
        <v>#DIV/0!</v>
      </c>
      <c r="AC14" s="17" t="e">
        <f t="shared" si="8"/>
        <v>#DIV/0!</v>
      </c>
      <c r="AD14" s="17" t="e">
        <f t="shared" si="8"/>
        <v>#DIV/0!</v>
      </c>
      <c r="AE14" s="17">
        <f t="shared" si="8"/>
        <v>4.92687009266215E-2</v>
      </c>
      <c r="AF14" s="17" t="e">
        <f t="shared" si="8"/>
        <v>#DIV/0!</v>
      </c>
      <c r="AG14" s="17" t="e">
        <f t="shared" si="8"/>
        <v>#DIV/0!</v>
      </c>
      <c r="AH14" s="17" t="e">
        <f t="shared" si="8"/>
        <v>#DIV/0!</v>
      </c>
      <c r="AI14" s="17" t="e">
        <f t="shared" si="8"/>
        <v>#DIV/0!</v>
      </c>
      <c r="AJ14" s="17">
        <f t="shared" si="8"/>
        <v>4.9308752628848262E-2</v>
      </c>
      <c r="AK14" s="17" t="e">
        <f t="shared" si="8"/>
        <v>#DIV/0!</v>
      </c>
      <c r="AL14" s="17" t="e">
        <f t="shared" si="8"/>
        <v>#DIV/0!</v>
      </c>
      <c r="AM14" s="17" t="e">
        <f t="shared" si="8"/>
        <v>#DIV/0!</v>
      </c>
      <c r="AN14" s="17" t="e">
        <f t="shared" si="8"/>
        <v>#DIV/0!</v>
      </c>
      <c r="AO14" s="17">
        <f t="shared" si="8"/>
        <v>4.9348818948032891E-2</v>
      </c>
      <c r="AP14" s="17">
        <f>AP13/AO13-1</f>
        <v>2.9388898908929928E-2</v>
      </c>
      <c r="AQ14" s="17">
        <f t="shared" ref="AQ14:AR14" si="9">AQ13/AP13-1</f>
        <v>2.9429770496544938E-2</v>
      </c>
      <c r="AR14" s="18">
        <f t="shared" si="9"/>
        <v>2.9470654173681998E-2</v>
      </c>
    </row>
    <row r="15" spans="1:44" x14ac:dyDescent="0.2">
      <c r="A15" s="2"/>
      <c r="B15" s="2"/>
      <c r="C15" s="2"/>
      <c r="D15" s="2"/>
      <c r="E15" s="19" t="s">
        <v>35</v>
      </c>
      <c r="F15" s="14">
        <f>Segment!F26+8</f>
        <v>1519</v>
      </c>
      <c r="G15" s="14">
        <f>Segment!G26</f>
        <v>0</v>
      </c>
      <c r="H15" s="14">
        <f>Segment!H26</f>
        <v>0</v>
      </c>
      <c r="I15" s="14">
        <f>Segment!I26</f>
        <v>0</v>
      </c>
      <c r="J15" s="14">
        <f>Segment!J26</f>
        <v>0</v>
      </c>
      <c r="K15" s="14">
        <f>Segment!K26+2</f>
        <v>1642</v>
      </c>
      <c r="L15" s="14">
        <f>Segment!L26</f>
        <v>0</v>
      </c>
      <c r="M15" s="14">
        <f>Segment!M26</f>
        <v>0</v>
      </c>
      <c r="N15" s="14">
        <f>Segment!N26</f>
        <v>0</v>
      </c>
      <c r="O15" s="14">
        <f>Segment!O26</f>
        <v>0</v>
      </c>
      <c r="P15" s="14">
        <f>Segment!P26+2</f>
        <v>1870</v>
      </c>
      <c r="Q15" s="14">
        <f>Segment!Q26</f>
        <v>0</v>
      </c>
      <c r="R15" s="14">
        <f>Segment!R26</f>
        <v>0</v>
      </c>
      <c r="S15" s="14">
        <f>Segment!S26</f>
        <v>0</v>
      </c>
      <c r="T15" s="14">
        <f>Segment!T26</f>
        <v>0</v>
      </c>
      <c r="U15" s="14">
        <f>Segment!U26+5</f>
        <v>2050</v>
      </c>
      <c r="V15" s="14">
        <f>Segment!V26</f>
        <v>0</v>
      </c>
      <c r="W15" s="14">
        <f>Segment!W26</f>
        <v>0</v>
      </c>
      <c r="X15" s="14">
        <f>Segment!X26</f>
        <v>0</v>
      </c>
      <c r="Y15" s="14">
        <f>Segment!Y26</f>
        <v>0</v>
      </c>
      <c r="Z15" s="14">
        <f>Segment!Z26</f>
        <v>2183.2186919673145</v>
      </c>
      <c r="AA15" s="14">
        <f>Segment!AA26</f>
        <v>0</v>
      </c>
      <c r="AB15" s="14">
        <f>Segment!AB26</f>
        <v>0</v>
      </c>
      <c r="AC15" s="14">
        <f>Segment!AC26</f>
        <v>0</v>
      </c>
      <c r="AD15" s="14">
        <f>Segment!AD26</f>
        <v>0</v>
      </c>
      <c r="AE15" s="14">
        <f>Segment!AE26</f>
        <v>2290.7830407592619</v>
      </c>
      <c r="AF15" s="14">
        <f>Segment!AF26</f>
        <v>0</v>
      </c>
      <c r="AG15" s="14">
        <f>Segment!AG26</f>
        <v>0</v>
      </c>
      <c r="AH15" s="14">
        <f>Segment!AH26</f>
        <v>0</v>
      </c>
      <c r="AI15" s="14">
        <f>Segment!AI26</f>
        <v>0</v>
      </c>
      <c r="AJ15" s="14">
        <f>Segment!AJ26</f>
        <v>2403.7386950424211</v>
      </c>
      <c r="AK15" s="14">
        <f>Segment!AK26</f>
        <v>0</v>
      </c>
      <c r="AL15" s="14">
        <f>Segment!AL26</f>
        <v>0</v>
      </c>
      <c r="AM15" s="14">
        <f>Segment!AM26</f>
        <v>0</v>
      </c>
      <c r="AN15" s="14">
        <f>Segment!AN26</f>
        <v>0</v>
      </c>
      <c r="AO15" s="14">
        <f>Segment!AO26</f>
        <v>2522.3603607024506</v>
      </c>
      <c r="AP15" s="14">
        <f>Segment!AP26</f>
        <v>2596.4897543550269</v>
      </c>
      <c r="AQ15" s="14">
        <f>Segment!AQ26</f>
        <v>2672.9038519223259</v>
      </c>
      <c r="AR15" s="15">
        <f>Segment!AR26</f>
        <v>2751.6760769818316</v>
      </c>
    </row>
    <row r="16" spans="1:44" x14ac:dyDescent="0.2">
      <c r="A16" s="2"/>
      <c r="B16" s="2"/>
      <c r="C16" s="2"/>
      <c r="D16" s="2"/>
      <c r="E16" s="31" t="s">
        <v>36</v>
      </c>
      <c r="F16" s="14">
        <f>F13-F15</f>
        <v>2249</v>
      </c>
      <c r="G16" s="14">
        <f t="shared" ref="G16:AR16" si="10">G13-G15</f>
        <v>0</v>
      </c>
      <c r="H16" s="14">
        <f t="shared" si="10"/>
        <v>0</v>
      </c>
      <c r="I16" s="14">
        <f t="shared" si="10"/>
        <v>0</v>
      </c>
      <c r="J16" s="14">
        <f t="shared" si="10"/>
        <v>0</v>
      </c>
      <c r="K16" s="14">
        <f t="shared" si="10"/>
        <v>2504</v>
      </c>
      <c r="L16" s="14">
        <f t="shared" si="10"/>
        <v>0</v>
      </c>
      <c r="M16" s="14">
        <f t="shared" si="10"/>
        <v>0</v>
      </c>
      <c r="N16" s="14">
        <f t="shared" si="10"/>
        <v>0</v>
      </c>
      <c r="O16" s="14">
        <f t="shared" si="10"/>
        <v>0</v>
      </c>
      <c r="P16" s="14">
        <f t="shared" si="10"/>
        <v>2921</v>
      </c>
      <c r="Q16" s="14">
        <f t="shared" si="10"/>
        <v>0</v>
      </c>
      <c r="R16" s="14">
        <f t="shared" si="10"/>
        <v>0</v>
      </c>
      <c r="S16" s="14">
        <f t="shared" si="10"/>
        <v>0</v>
      </c>
      <c r="T16" s="14">
        <f t="shared" si="10"/>
        <v>0</v>
      </c>
      <c r="U16" s="14">
        <f t="shared" si="10"/>
        <v>3051</v>
      </c>
      <c r="V16" s="14">
        <f t="shared" si="10"/>
        <v>0</v>
      </c>
      <c r="W16" s="14">
        <f t="shared" si="10"/>
        <v>0</v>
      </c>
      <c r="X16" s="14">
        <f t="shared" si="10"/>
        <v>0</v>
      </c>
      <c r="Y16" s="14">
        <f t="shared" si="10"/>
        <v>0</v>
      </c>
      <c r="Z16" s="14">
        <f t="shared" si="10"/>
        <v>3274.8280379509711</v>
      </c>
      <c r="AA16" s="14">
        <f t="shared" si="10"/>
        <v>0</v>
      </c>
      <c r="AB16" s="14">
        <f t="shared" si="10"/>
        <v>0</v>
      </c>
      <c r="AC16" s="14">
        <f t="shared" si="10"/>
        <v>0</v>
      </c>
      <c r="AD16" s="14">
        <f t="shared" si="10"/>
        <v>0</v>
      </c>
      <c r="AE16" s="14">
        <f t="shared" si="10"/>
        <v>3436.1745611388924</v>
      </c>
      <c r="AF16" s="14">
        <f t="shared" si="10"/>
        <v>0</v>
      </c>
      <c r="AG16" s="14">
        <f t="shared" si="10"/>
        <v>0</v>
      </c>
      <c r="AH16" s="14">
        <f t="shared" si="10"/>
        <v>0</v>
      </c>
      <c r="AI16" s="14">
        <f t="shared" si="10"/>
        <v>0</v>
      </c>
      <c r="AJ16" s="14">
        <f t="shared" si="10"/>
        <v>3605.6080425636314</v>
      </c>
      <c r="AK16" s="14">
        <f t="shared" si="10"/>
        <v>0</v>
      </c>
      <c r="AL16" s="14">
        <f t="shared" si="10"/>
        <v>0</v>
      </c>
      <c r="AM16" s="14">
        <f t="shared" si="10"/>
        <v>0</v>
      </c>
      <c r="AN16" s="14">
        <f t="shared" si="10"/>
        <v>0</v>
      </c>
      <c r="AO16" s="14">
        <f t="shared" si="10"/>
        <v>3783.540541053675</v>
      </c>
      <c r="AP16" s="14">
        <f t="shared" si="10"/>
        <v>3894.7346315325403</v>
      </c>
      <c r="AQ16" s="14">
        <f t="shared" si="10"/>
        <v>4009.3557778834884</v>
      </c>
      <c r="AR16" s="15">
        <f t="shared" si="10"/>
        <v>4127.5141154727462</v>
      </c>
    </row>
    <row r="17" spans="1:44" x14ac:dyDescent="0.2">
      <c r="A17" s="2"/>
      <c r="B17" s="2"/>
      <c r="C17" s="2"/>
      <c r="D17" s="2"/>
      <c r="E17" s="16" t="s">
        <v>37</v>
      </c>
      <c r="F17" s="17">
        <f>F16/F13</f>
        <v>0.59686836518046704</v>
      </c>
      <c r="G17" s="17" t="e">
        <f>G16/G13</f>
        <v>#DIV/0!</v>
      </c>
      <c r="H17" s="17" t="e">
        <f t="shared" ref="H17:AR17" si="11">H16/H13</f>
        <v>#DIV/0!</v>
      </c>
      <c r="I17" s="17" t="e">
        <f t="shared" si="11"/>
        <v>#DIV/0!</v>
      </c>
      <c r="J17" s="17" t="e">
        <f t="shared" si="11"/>
        <v>#DIV/0!</v>
      </c>
      <c r="K17" s="17">
        <f t="shared" si="11"/>
        <v>0.60395561987457791</v>
      </c>
      <c r="L17" s="17" t="e">
        <f t="shared" si="11"/>
        <v>#DIV/0!</v>
      </c>
      <c r="M17" s="17" t="e">
        <f t="shared" si="11"/>
        <v>#DIV/0!</v>
      </c>
      <c r="N17" s="17" t="e">
        <f t="shared" si="11"/>
        <v>#DIV/0!</v>
      </c>
      <c r="O17" s="17" t="e">
        <f t="shared" si="11"/>
        <v>#DIV/0!</v>
      </c>
      <c r="P17" s="17">
        <f t="shared" si="11"/>
        <v>0.60968482571488203</v>
      </c>
      <c r="Q17" s="17" t="e">
        <f t="shared" si="11"/>
        <v>#DIV/0!</v>
      </c>
      <c r="R17" s="17" t="e">
        <f t="shared" si="11"/>
        <v>#DIV/0!</v>
      </c>
      <c r="S17" s="17" t="e">
        <f t="shared" si="11"/>
        <v>#DIV/0!</v>
      </c>
      <c r="T17" s="17" t="e">
        <f t="shared" si="11"/>
        <v>#DIV/0!</v>
      </c>
      <c r="U17" s="17">
        <f t="shared" si="11"/>
        <v>0.59811801607527937</v>
      </c>
      <c r="V17" s="17" t="e">
        <f t="shared" si="11"/>
        <v>#DIV/0!</v>
      </c>
      <c r="W17" s="17" t="e">
        <f t="shared" si="11"/>
        <v>#DIV/0!</v>
      </c>
      <c r="X17" s="17" t="e">
        <f t="shared" si="11"/>
        <v>#DIV/0!</v>
      </c>
      <c r="Y17" s="17" t="e">
        <f t="shared" si="11"/>
        <v>#DIV/0!</v>
      </c>
      <c r="Z17" s="17">
        <f>Z16/Z13</f>
        <v>0.6</v>
      </c>
      <c r="AA17" s="17" t="e">
        <f t="shared" si="11"/>
        <v>#DIV/0!</v>
      </c>
      <c r="AB17" s="17" t="e">
        <f t="shared" si="11"/>
        <v>#DIV/0!</v>
      </c>
      <c r="AC17" s="17" t="e">
        <f t="shared" si="11"/>
        <v>#DIV/0!</v>
      </c>
      <c r="AD17" s="17" t="e">
        <f t="shared" si="11"/>
        <v>#DIV/0!</v>
      </c>
      <c r="AE17" s="17">
        <f t="shared" si="11"/>
        <v>0.6</v>
      </c>
      <c r="AF17" s="17" t="e">
        <f t="shared" si="11"/>
        <v>#DIV/0!</v>
      </c>
      <c r="AG17" s="17" t="e">
        <f t="shared" si="11"/>
        <v>#DIV/0!</v>
      </c>
      <c r="AH17" s="17" t="e">
        <f t="shared" si="11"/>
        <v>#DIV/0!</v>
      </c>
      <c r="AI17" s="17" t="e">
        <f t="shared" si="11"/>
        <v>#DIV/0!</v>
      </c>
      <c r="AJ17" s="17">
        <f t="shared" si="11"/>
        <v>0.6</v>
      </c>
      <c r="AK17" s="17" t="e">
        <f t="shared" si="11"/>
        <v>#DIV/0!</v>
      </c>
      <c r="AL17" s="17" t="e">
        <f t="shared" si="11"/>
        <v>#DIV/0!</v>
      </c>
      <c r="AM17" s="17" t="e">
        <f t="shared" si="11"/>
        <v>#DIV/0!</v>
      </c>
      <c r="AN17" s="17" t="e">
        <f t="shared" si="11"/>
        <v>#DIV/0!</v>
      </c>
      <c r="AO17" s="17">
        <f t="shared" si="11"/>
        <v>0.6</v>
      </c>
      <c r="AP17" s="17">
        <f t="shared" si="11"/>
        <v>0.6</v>
      </c>
      <c r="AQ17" s="17">
        <f t="shared" si="11"/>
        <v>0.6</v>
      </c>
      <c r="AR17" s="18">
        <f t="shared" si="11"/>
        <v>0.59999999999999987</v>
      </c>
    </row>
    <row r="18" spans="1:44" x14ac:dyDescent="0.2">
      <c r="A18" s="2"/>
      <c r="B18" s="2"/>
      <c r="C18" s="2"/>
      <c r="D18" s="2"/>
      <c r="E18" s="19" t="s">
        <v>52</v>
      </c>
      <c r="F18" s="14">
        <v>1478</v>
      </c>
      <c r="G18" s="14"/>
      <c r="H18" s="14"/>
      <c r="I18" s="14"/>
      <c r="J18" s="14"/>
      <c r="K18" s="14">
        <v>1736</v>
      </c>
      <c r="L18" s="14"/>
      <c r="M18" s="14"/>
      <c r="N18" s="14"/>
      <c r="O18" s="14"/>
      <c r="P18" s="14">
        <v>2082</v>
      </c>
      <c r="Q18" s="14"/>
      <c r="R18" s="14"/>
      <c r="S18" s="14"/>
      <c r="T18" s="14"/>
      <c r="U18" s="14">
        <v>2234</v>
      </c>
      <c r="V18" s="14"/>
      <c r="W18" s="14"/>
      <c r="X18" s="14"/>
      <c r="Y18" s="14"/>
      <c r="Z18" s="14">
        <f>Z13*Z19</f>
        <v>2297.1356563074914</v>
      </c>
      <c r="AA18" s="14" t="e">
        <f t="shared" ref="AA18:AR18" si="12">AA13*AA19</f>
        <v>#DIV/0!</v>
      </c>
      <c r="AB18" s="14" t="e">
        <f t="shared" si="12"/>
        <v>#DIV/0!</v>
      </c>
      <c r="AC18" s="14" t="e">
        <f t="shared" si="12"/>
        <v>#DIV/0!</v>
      </c>
      <c r="AD18" s="14" t="e">
        <f t="shared" si="12"/>
        <v>#DIV/0!</v>
      </c>
      <c r="AE18" s="14">
        <f t="shared" si="12"/>
        <v>2451.2901426497383</v>
      </c>
      <c r="AF18" s="14" t="e">
        <f t="shared" si="12"/>
        <v>#DIV/0!</v>
      </c>
      <c r="AG18" s="14" t="e">
        <f t="shared" si="12"/>
        <v>#DIV/0!</v>
      </c>
      <c r="AH18" s="14" t="e">
        <f t="shared" si="12"/>
        <v>#DIV/0!</v>
      </c>
      <c r="AI18" s="14" t="e">
        <f t="shared" si="12"/>
        <v>#DIV/0!</v>
      </c>
      <c r="AJ18" s="14">
        <f t="shared" si="12"/>
        <v>2586.146590039662</v>
      </c>
      <c r="AK18" s="14" t="e">
        <f t="shared" si="12"/>
        <v>#DIV/0!</v>
      </c>
      <c r="AL18" s="14" t="e">
        <f t="shared" si="12"/>
        <v>#DIV/0!</v>
      </c>
      <c r="AM18" s="14" t="e">
        <f t="shared" si="12"/>
        <v>#DIV/0!</v>
      </c>
      <c r="AN18" s="14" t="e">
        <f t="shared" si="12"/>
        <v>#DIV/0!</v>
      </c>
      <c r="AO18" s="14">
        <f>AO13*AO19</f>
        <v>2707.1316820929546</v>
      </c>
      <c r="AP18" s="14">
        <f t="shared" si="12"/>
        <v>2786.6913014311458</v>
      </c>
      <c r="AQ18" s="14">
        <f t="shared" si="12"/>
        <v>2868.7029868769828</v>
      </c>
      <c r="AR18" s="15">
        <f t="shared" si="12"/>
        <v>2953.245540530243</v>
      </c>
    </row>
    <row r="19" spans="1:44" x14ac:dyDescent="0.2">
      <c r="A19" s="2"/>
      <c r="B19" s="2"/>
      <c r="C19" s="2"/>
      <c r="D19" s="2"/>
      <c r="E19" s="16" t="s">
        <v>38</v>
      </c>
      <c r="F19" s="17">
        <f>F18/F13</f>
        <v>0.39225053078556266</v>
      </c>
      <c r="G19" s="17" t="e">
        <f t="shared" ref="G19:Y19" si="13">G18/G13</f>
        <v>#DIV/0!</v>
      </c>
      <c r="H19" s="17" t="e">
        <f t="shared" si="13"/>
        <v>#DIV/0!</v>
      </c>
      <c r="I19" s="17" t="e">
        <f t="shared" si="13"/>
        <v>#DIV/0!</v>
      </c>
      <c r="J19" s="17" t="e">
        <f t="shared" si="13"/>
        <v>#DIV/0!</v>
      </c>
      <c r="K19" s="17">
        <f t="shared" si="13"/>
        <v>0.41871683550410033</v>
      </c>
      <c r="L19" s="17" t="e">
        <f t="shared" si="13"/>
        <v>#DIV/0!</v>
      </c>
      <c r="M19" s="17" t="e">
        <f t="shared" si="13"/>
        <v>#DIV/0!</v>
      </c>
      <c r="N19" s="17" t="e">
        <f t="shared" si="13"/>
        <v>#DIV/0!</v>
      </c>
      <c r="O19" s="17" t="e">
        <f t="shared" si="13"/>
        <v>#DIV/0!</v>
      </c>
      <c r="P19" s="17">
        <f t="shared" si="13"/>
        <v>0.43456480901690669</v>
      </c>
      <c r="Q19" s="17" t="e">
        <f t="shared" si="13"/>
        <v>#DIV/0!</v>
      </c>
      <c r="R19" s="17" t="e">
        <f t="shared" si="13"/>
        <v>#DIV/0!</v>
      </c>
      <c r="S19" s="17" t="e">
        <f t="shared" si="13"/>
        <v>#DIV/0!</v>
      </c>
      <c r="T19" s="17" t="e">
        <f t="shared" si="13"/>
        <v>#DIV/0!</v>
      </c>
      <c r="U19" s="17">
        <f t="shared" si="13"/>
        <v>0.43795334248186629</v>
      </c>
      <c r="V19" s="17" t="e">
        <f t="shared" si="13"/>
        <v>#DIV/0!</v>
      </c>
      <c r="W19" s="17" t="e">
        <f t="shared" si="13"/>
        <v>#DIV/0!</v>
      </c>
      <c r="X19" s="17" t="e">
        <f t="shared" si="13"/>
        <v>#DIV/0!</v>
      </c>
      <c r="Y19" s="17" t="e">
        <f t="shared" si="13"/>
        <v>#DIV/0!</v>
      </c>
      <c r="Z19" s="17">
        <f>AVERAGE(F19,K19,P19,U19)</f>
        <v>0.42087137944710901</v>
      </c>
      <c r="AA19" s="17" t="e">
        <f t="shared" ref="AA19:AN19" si="14">AVERAGE(G19,L19,Q19,V19)</f>
        <v>#DIV/0!</v>
      </c>
      <c r="AB19" s="17" t="e">
        <f t="shared" si="14"/>
        <v>#DIV/0!</v>
      </c>
      <c r="AC19" s="17" t="e">
        <f t="shared" si="14"/>
        <v>#DIV/0!</v>
      </c>
      <c r="AD19" s="17" t="e">
        <f t="shared" si="14"/>
        <v>#DIV/0!</v>
      </c>
      <c r="AE19" s="17">
        <f t="shared" si="14"/>
        <v>0.42802659161249557</v>
      </c>
      <c r="AF19" s="17" t="e">
        <f t="shared" si="14"/>
        <v>#DIV/0!</v>
      </c>
      <c r="AG19" s="17" t="e">
        <f t="shared" si="14"/>
        <v>#DIV/0!</v>
      </c>
      <c r="AH19" s="17" t="e">
        <f t="shared" si="14"/>
        <v>#DIV/0!</v>
      </c>
      <c r="AI19" s="17" t="e">
        <f t="shared" si="14"/>
        <v>#DIV/0!</v>
      </c>
      <c r="AJ19" s="17">
        <f t="shared" si="14"/>
        <v>0.43035403063959443</v>
      </c>
      <c r="AK19" s="17" t="e">
        <f t="shared" si="14"/>
        <v>#DIV/0!</v>
      </c>
      <c r="AL19" s="17" t="e">
        <f t="shared" si="14"/>
        <v>#DIV/0!</v>
      </c>
      <c r="AM19" s="17" t="e">
        <f t="shared" si="14"/>
        <v>#DIV/0!</v>
      </c>
      <c r="AN19" s="17" t="e">
        <f t="shared" si="14"/>
        <v>#DIV/0!</v>
      </c>
      <c r="AO19" s="17">
        <f>AVERAGE(U19,Z19,AE19,AJ19)</f>
        <v>0.42930133604526632</v>
      </c>
      <c r="AP19" s="17">
        <f>AVERAGE(U19,Z19,AE19,AJ19,AO19)</f>
        <v>0.42930133604526632</v>
      </c>
      <c r="AQ19" s="17">
        <f>AP19</f>
        <v>0.42930133604526632</v>
      </c>
      <c r="AR19" s="18">
        <f>AQ19</f>
        <v>0.42930133604526632</v>
      </c>
    </row>
    <row r="20" spans="1:44" x14ac:dyDescent="0.2">
      <c r="A20" s="2"/>
      <c r="B20" s="2"/>
      <c r="C20" s="2"/>
      <c r="D20" s="2"/>
      <c r="E20" s="19" t="s">
        <v>53</v>
      </c>
      <c r="F20" s="2">
        <v>307</v>
      </c>
      <c r="G20" s="2"/>
      <c r="H20" s="2"/>
      <c r="I20" s="2"/>
      <c r="J20" s="2"/>
      <c r="K20" s="2">
        <v>324</v>
      </c>
      <c r="L20" s="2"/>
      <c r="M20" s="2"/>
      <c r="N20" s="2"/>
      <c r="O20" s="2"/>
      <c r="P20" s="2">
        <v>343</v>
      </c>
      <c r="Q20" s="2"/>
      <c r="R20" s="2"/>
      <c r="S20" s="2"/>
      <c r="T20" s="2"/>
      <c r="U20" s="2">
        <v>371</v>
      </c>
      <c r="V20" s="2"/>
      <c r="W20" s="2"/>
      <c r="X20" s="2"/>
      <c r="Y20" s="2"/>
      <c r="Z20" s="96">
        <f>Z13*Z21</f>
        <v>414.73868997779067</v>
      </c>
      <c r="AA20" s="2"/>
      <c r="AB20" s="2"/>
      <c r="AC20" s="2"/>
      <c r="AD20" s="2"/>
      <c r="AE20" s="96">
        <f>AE13*AE21</f>
        <v>435.17232645700523</v>
      </c>
      <c r="AF20" s="96">
        <f t="shared" ref="AF20:AR20" si="15">AF13*AF21</f>
        <v>0</v>
      </c>
      <c r="AG20" s="96">
        <f t="shared" si="15"/>
        <v>0</v>
      </c>
      <c r="AH20" s="96">
        <f t="shared" si="15"/>
        <v>0</v>
      </c>
      <c r="AI20" s="96">
        <f t="shared" si="15"/>
        <v>0</v>
      </c>
      <c r="AJ20" s="96">
        <f t="shared" si="15"/>
        <v>456.63013105319413</v>
      </c>
      <c r="AK20" s="96">
        <f t="shared" si="15"/>
        <v>0</v>
      </c>
      <c r="AL20" s="96">
        <f t="shared" si="15"/>
        <v>0</v>
      </c>
      <c r="AM20" s="96">
        <f t="shared" si="15"/>
        <v>0</v>
      </c>
      <c r="AN20" s="96">
        <f t="shared" si="15"/>
        <v>0</v>
      </c>
      <c r="AO20" s="96">
        <f t="shared" si="15"/>
        <v>479.16428871675475</v>
      </c>
      <c r="AP20" s="96">
        <f t="shared" si="15"/>
        <v>493.24639955862079</v>
      </c>
      <c r="AQ20" s="96">
        <f t="shared" si="15"/>
        <v>507.76252789587812</v>
      </c>
      <c r="AR20" s="32">
        <f t="shared" si="15"/>
        <v>522.72662175785217</v>
      </c>
    </row>
    <row r="21" spans="1:44" x14ac:dyDescent="0.2">
      <c r="A21" s="2"/>
      <c r="B21" s="2"/>
      <c r="C21" s="2"/>
      <c r="D21" s="2"/>
      <c r="E21" s="16" t="s">
        <v>39</v>
      </c>
      <c r="F21" s="17">
        <f>F20/F13</f>
        <v>8.1475583864118892E-2</v>
      </c>
      <c r="G21" s="17" t="e">
        <f t="shared" ref="G21:Y21" si="16">G20/G13</f>
        <v>#DIV/0!</v>
      </c>
      <c r="H21" s="17" t="e">
        <f t="shared" si="16"/>
        <v>#DIV/0!</v>
      </c>
      <c r="I21" s="17" t="e">
        <f t="shared" si="16"/>
        <v>#DIV/0!</v>
      </c>
      <c r="J21" s="17" t="e">
        <f t="shared" si="16"/>
        <v>#DIV/0!</v>
      </c>
      <c r="K21" s="17">
        <f t="shared" si="16"/>
        <v>7.8147612156295218E-2</v>
      </c>
      <c r="L21" s="17" t="e">
        <f t="shared" si="16"/>
        <v>#DIV/0!</v>
      </c>
      <c r="M21" s="17" t="e">
        <f t="shared" si="16"/>
        <v>#DIV/0!</v>
      </c>
      <c r="N21" s="17" t="e">
        <f t="shared" si="16"/>
        <v>#DIV/0!</v>
      </c>
      <c r="O21" s="17" t="e">
        <f t="shared" si="16"/>
        <v>#DIV/0!</v>
      </c>
      <c r="P21" s="17">
        <f t="shared" si="16"/>
        <v>7.1592569400960135E-2</v>
      </c>
      <c r="Q21" s="17" t="e">
        <f t="shared" si="16"/>
        <v>#DIV/0!</v>
      </c>
      <c r="R21" s="17" t="e">
        <f t="shared" si="16"/>
        <v>#DIV/0!</v>
      </c>
      <c r="S21" s="17" t="e">
        <f t="shared" si="16"/>
        <v>#DIV/0!</v>
      </c>
      <c r="T21" s="17" t="e">
        <f t="shared" si="16"/>
        <v>#DIV/0!</v>
      </c>
      <c r="U21" s="17">
        <f t="shared" si="16"/>
        <v>7.2730837090766512E-2</v>
      </c>
      <c r="V21" s="17" t="e">
        <f t="shared" si="16"/>
        <v>#DIV/0!</v>
      </c>
      <c r="W21" s="17" t="e">
        <f t="shared" si="16"/>
        <v>#DIV/0!</v>
      </c>
      <c r="X21" s="17" t="e">
        <f t="shared" si="16"/>
        <v>#DIV/0!</v>
      </c>
      <c r="Y21" s="17" t="e">
        <f t="shared" si="16"/>
        <v>#DIV/0!</v>
      </c>
      <c r="Z21" s="50">
        <f>AVERAGE(F21,K21,P21,U21)</f>
        <v>7.5986650628035182E-2</v>
      </c>
      <c r="AA21" s="50" t="e">
        <f t="shared" ref="AA21:AD21" si="17">AVERAGE(G21,L21,Q21,V21)</f>
        <v>#DIV/0!</v>
      </c>
      <c r="AB21" s="50" t="e">
        <f t="shared" si="17"/>
        <v>#DIV/0!</v>
      </c>
      <c r="AC21" s="50" t="e">
        <f t="shared" si="17"/>
        <v>#DIV/0!</v>
      </c>
      <c r="AD21" s="50" t="e">
        <f t="shared" si="17"/>
        <v>#DIV/0!</v>
      </c>
      <c r="AE21" s="50">
        <f>$Z$21</f>
        <v>7.5986650628035182E-2</v>
      </c>
      <c r="AF21" s="50">
        <f t="shared" ref="AF21:AN21" si="18">$Z$21</f>
        <v>7.5986650628035182E-2</v>
      </c>
      <c r="AG21" s="50">
        <f t="shared" si="18"/>
        <v>7.5986650628035182E-2</v>
      </c>
      <c r="AH21" s="50">
        <f t="shared" si="18"/>
        <v>7.5986650628035182E-2</v>
      </c>
      <c r="AI21" s="50">
        <f t="shared" si="18"/>
        <v>7.5986650628035182E-2</v>
      </c>
      <c r="AJ21" s="50">
        <f t="shared" si="18"/>
        <v>7.5986650628035182E-2</v>
      </c>
      <c r="AK21" s="50">
        <f t="shared" si="18"/>
        <v>7.5986650628035182E-2</v>
      </c>
      <c r="AL21" s="50">
        <f t="shared" si="18"/>
        <v>7.5986650628035182E-2</v>
      </c>
      <c r="AM21" s="50">
        <f t="shared" si="18"/>
        <v>7.5986650628035182E-2</v>
      </c>
      <c r="AN21" s="50">
        <f t="shared" si="18"/>
        <v>7.5986650628035182E-2</v>
      </c>
      <c r="AO21" s="50">
        <f>$Z$21</f>
        <v>7.5986650628035182E-2</v>
      </c>
      <c r="AP21" s="50">
        <f t="shared" ref="AP21:AR21" si="19">$Z$21</f>
        <v>7.5986650628035182E-2</v>
      </c>
      <c r="AQ21" s="50">
        <f t="shared" si="19"/>
        <v>7.5986650628035182E-2</v>
      </c>
      <c r="AR21" s="30">
        <f t="shared" si="19"/>
        <v>7.5986650628035182E-2</v>
      </c>
    </row>
    <row r="22" spans="1:44" x14ac:dyDescent="0.2">
      <c r="A22" s="2"/>
      <c r="B22" s="2"/>
      <c r="C22" s="2"/>
      <c r="D22" s="2"/>
      <c r="E22" s="19" t="s">
        <v>54</v>
      </c>
      <c r="F22" s="2">
        <v>13</v>
      </c>
      <c r="G22" s="2"/>
      <c r="H22" s="2"/>
      <c r="I22" s="2"/>
      <c r="J22" s="2"/>
      <c r="K22" s="2">
        <v>74</v>
      </c>
      <c r="L22" s="2"/>
      <c r="M22" s="2"/>
      <c r="N22" s="2"/>
      <c r="O22" s="2"/>
      <c r="P22" s="2">
        <v>44</v>
      </c>
      <c r="Q22" s="2"/>
      <c r="R22" s="2"/>
      <c r="S22" s="2"/>
      <c r="T22" s="2"/>
      <c r="U22" s="2">
        <v>75</v>
      </c>
      <c r="V22" s="2"/>
      <c r="W22" s="2"/>
      <c r="X22" s="2"/>
      <c r="Y22" s="2"/>
      <c r="Z22" s="97">
        <f>AVERAGE(F22:U22)</f>
        <v>51.5</v>
      </c>
      <c r="AA22" s="97">
        <f t="shared" ref="AA22:AN22" si="20">AVERAGE(G22:V22)</f>
        <v>64.333333333333329</v>
      </c>
      <c r="AB22" s="97">
        <f t="shared" si="20"/>
        <v>64.333333333333329</v>
      </c>
      <c r="AC22" s="97">
        <f t="shared" si="20"/>
        <v>64.333333333333329</v>
      </c>
      <c r="AD22" s="97">
        <f t="shared" si="20"/>
        <v>64.333333333333329</v>
      </c>
      <c r="AE22" s="97">
        <f t="shared" si="20"/>
        <v>61.125</v>
      </c>
      <c r="AF22" s="97">
        <f t="shared" si="20"/>
        <v>58.708333333333329</v>
      </c>
      <c r="AG22" s="97">
        <f t="shared" si="20"/>
        <v>59.833333333333329</v>
      </c>
      <c r="AH22" s="97">
        <f t="shared" si="20"/>
        <v>60.583333333333321</v>
      </c>
      <c r="AI22" s="97">
        <f t="shared" si="20"/>
        <v>61.119047619047606</v>
      </c>
      <c r="AJ22" s="97">
        <f t="shared" si="20"/>
        <v>61.119791666666657</v>
      </c>
      <c r="AK22" s="97">
        <f t="shared" si="20"/>
        <v>62.958333333333321</v>
      </c>
      <c r="AL22" s="97">
        <f t="shared" si="20"/>
        <v>62.6111111111111</v>
      </c>
      <c r="AM22" s="97">
        <f t="shared" si="20"/>
        <v>62.408333333333324</v>
      </c>
      <c r="AN22" s="97">
        <f t="shared" si="20"/>
        <v>62.291125541125531</v>
      </c>
      <c r="AO22" s="97">
        <f>AVERAGE(U22:AJ22)</f>
        <v>62.193514384920626</v>
      </c>
      <c r="AP22" s="124">
        <f>AO22</f>
        <v>62.193514384920626</v>
      </c>
      <c r="AQ22" s="124">
        <f t="shared" ref="AQ22:AR22" si="21">AP22</f>
        <v>62.193514384920626</v>
      </c>
      <c r="AR22" s="125">
        <f t="shared" si="21"/>
        <v>62.193514384920626</v>
      </c>
    </row>
    <row r="23" spans="1:44" x14ac:dyDescent="0.2">
      <c r="A23" s="2"/>
      <c r="B23" s="2"/>
      <c r="C23" s="2"/>
      <c r="D23" s="2"/>
      <c r="E23" s="31" t="s">
        <v>40</v>
      </c>
      <c r="F23" s="96">
        <f>F16-F18-F20-F22</f>
        <v>451</v>
      </c>
      <c r="G23" s="96">
        <f t="shared" ref="G23:AN23" si="22">G16-G18-G20-G22</f>
        <v>0</v>
      </c>
      <c r="H23" s="96">
        <f t="shared" si="22"/>
        <v>0</v>
      </c>
      <c r="I23" s="96">
        <f t="shared" si="22"/>
        <v>0</v>
      </c>
      <c r="J23" s="96">
        <f t="shared" si="22"/>
        <v>0</v>
      </c>
      <c r="K23" s="96">
        <f t="shared" si="22"/>
        <v>370</v>
      </c>
      <c r="L23" s="96">
        <f t="shared" si="22"/>
        <v>0</v>
      </c>
      <c r="M23" s="96">
        <f t="shared" si="22"/>
        <v>0</v>
      </c>
      <c r="N23" s="96">
        <f t="shared" si="22"/>
        <v>0</v>
      </c>
      <c r="O23" s="96">
        <f t="shared" si="22"/>
        <v>0</v>
      </c>
      <c r="P23" s="96">
        <f t="shared" si="22"/>
        <v>452</v>
      </c>
      <c r="Q23" s="96">
        <f t="shared" si="22"/>
        <v>0</v>
      </c>
      <c r="R23" s="96">
        <f t="shared" si="22"/>
        <v>0</v>
      </c>
      <c r="S23" s="96">
        <f t="shared" si="22"/>
        <v>0</v>
      </c>
      <c r="T23" s="96">
        <f t="shared" si="22"/>
        <v>0</v>
      </c>
      <c r="U23" s="96">
        <f>U16-U18-U20-U22</f>
        <v>371</v>
      </c>
      <c r="V23" s="96">
        <f t="shared" si="22"/>
        <v>0</v>
      </c>
      <c r="W23" s="96">
        <f t="shared" si="22"/>
        <v>0</v>
      </c>
      <c r="X23" s="96">
        <f t="shared" si="22"/>
        <v>0</v>
      </c>
      <c r="Y23" s="96">
        <f t="shared" si="22"/>
        <v>0</v>
      </c>
      <c r="Z23" s="96">
        <f>Z16-Z18-Z20-Z22</f>
        <v>511.45369166568889</v>
      </c>
      <c r="AA23" s="96" t="e">
        <f t="shared" si="22"/>
        <v>#DIV/0!</v>
      </c>
      <c r="AB23" s="96" t="e">
        <f t="shared" si="22"/>
        <v>#DIV/0!</v>
      </c>
      <c r="AC23" s="96" t="e">
        <f t="shared" si="22"/>
        <v>#DIV/0!</v>
      </c>
      <c r="AD23" s="96" t="e">
        <f t="shared" si="22"/>
        <v>#DIV/0!</v>
      </c>
      <c r="AE23" s="96">
        <f t="shared" si="22"/>
        <v>488.5870920321488</v>
      </c>
      <c r="AF23" s="96" t="e">
        <f t="shared" si="22"/>
        <v>#DIV/0!</v>
      </c>
      <c r="AG23" s="96" t="e">
        <f t="shared" si="22"/>
        <v>#DIV/0!</v>
      </c>
      <c r="AH23" s="96" t="e">
        <f t="shared" si="22"/>
        <v>#DIV/0!</v>
      </c>
      <c r="AI23" s="96" t="e">
        <f t="shared" si="22"/>
        <v>#DIV/0!</v>
      </c>
      <c r="AJ23" s="96">
        <f t="shared" si="22"/>
        <v>501.71152980410864</v>
      </c>
      <c r="AK23" s="96" t="e">
        <f t="shared" si="22"/>
        <v>#DIV/0!</v>
      </c>
      <c r="AL23" s="96" t="e">
        <f t="shared" si="22"/>
        <v>#DIV/0!</v>
      </c>
      <c r="AM23" s="96" t="e">
        <f t="shared" si="22"/>
        <v>#DIV/0!</v>
      </c>
      <c r="AN23" s="96" t="e">
        <f t="shared" si="22"/>
        <v>#DIV/0!</v>
      </c>
      <c r="AO23" s="96">
        <f>AO16-AO18-AO20-AO22</f>
        <v>535.05105585904505</v>
      </c>
      <c r="AP23" s="96">
        <f t="shared" ref="AP23:AR23" si="23">AP16-AP18-AP20-AP22</f>
        <v>552.60341615785308</v>
      </c>
      <c r="AQ23" s="96">
        <f t="shared" si="23"/>
        <v>570.69674872570693</v>
      </c>
      <c r="AR23" s="32">
        <f t="shared" si="23"/>
        <v>589.34843879973039</v>
      </c>
    </row>
    <row r="24" spans="1:44" x14ac:dyDescent="0.2">
      <c r="A24" s="2"/>
      <c r="B24" s="2"/>
      <c r="C24" s="2"/>
      <c r="D24" s="2"/>
      <c r="E24" s="16" t="s">
        <v>41</v>
      </c>
      <c r="F24" s="17">
        <f>F23/F13</f>
        <v>0.11969214437367304</v>
      </c>
      <c r="G24" s="17" t="e">
        <f t="shared" ref="G24:AR24" si="24">G23/G13</f>
        <v>#DIV/0!</v>
      </c>
      <c r="H24" s="17" t="e">
        <f t="shared" si="24"/>
        <v>#DIV/0!</v>
      </c>
      <c r="I24" s="17" t="e">
        <f t="shared" si="24"/>
        <v>#DIV/0!</v>
      </c>
      <c r="J24" s="17" t="e">
        <f t="shared" si="24"/>
        <v>#DIV/0!</v>
      </c>
      <c r="K24" s="17">
        <f t="shared" si="24"/>
        <v>8.9242643511818626E-2</v>
      </c>
      <c r="L24" s="17" t="e">
        <f t="shared" si="24"/>
        <v>#DIV/0!</v>
      </c>
      <c r="M24" s="17" t="e">
        <f t="shared" si="24"/>
        <v>#DIV/0!</v>
      </c>
      <c r="N24" s="17" t="e">
        <f t="shared" si="24"/>
        <v>#DIV/0!</v>
      </c>
      <c r="O24" s="17" t="e">
        <f t="shared" si="24"/>
        <v>#DIV/0!</v>
      </c>
      <c r="P24" s="17">
        <f t="shared" si="24"/>
        <v>9.4343560843247756E-2</v>
      </c>
      <c r="Q24" s="17" t="e">
        <f t="shared" si="24"/>
        <v>#DIV/0!</v>
      </c>
      <c r="R24" s="17" t="e">
        <f t="shared" si="24"/>
        <v>#DIV/0!</v>
      </c>
      <c r="S24" s="17" t="e">
        <f t="shared" si="24"/>
        <v>#DIV/0!</v>
      </c>
      <c r="T24" s="17" t="e">
        <f t="shared" si="24"/>
        <v>#DIV/0!</v>
      </c>
      <c r="U24" s="17">
        <f>U23/U13</f>
        <v>7.2730837090766512E-2</v>
      </c>
      <c r="V24" s="17" t="e">
        <f t="shared" si="24"/>
        <v>#DIV/0!</v>
      </c>
      <c r="W24" s="17" t="e">
        <f t="shared" si="24"/>
        <v>#DIV/0!</v>
      </c>
      <c r="X24" s="17" t="e">
        <f t="shared" si="24"/>
        <v>#DIV/0!</v>
      </c>
      <c r="Y24" s="17" t="e">
        <f t="shared" si="24"/>
        <v>#DIV/0!</v>
      </c>
      <c r="Z24" s="17">
        <f>Z23/Z13</f>
        <v>9.3706359980788592E-2</v>
      </c>
      <c r="AA24" s="17" t="e">
        <f t="shared" si="24"/>
        <v>#DIV/0!</v>
      </c>
      <c r="AB24" s="17" t="e">
        <f t="shared" si="24"/>
        <v>#DIV/0!</v>
      </c>
      <c r="AC24" s="17" t="e">
        <f t="shared" si="24"/>
        <v>#DIV/0!</v>
      </c>
      <c r="AD24" s="17" t="e">
        <f t="shared" si="24"/>
        <v>#DIV/0!</v>
      </c>
      <c r="AE24" s="17">
        <f t="shared" si="24"/>
        <v>8.5313551451858233E-2</v>
      </c>
      <c r="AF24" s="17" t="e">
        <f t="shared" si="24"/>
        <v>#DIV/0!</v>
      </c>
      <c r="AG24" s="17" t="e">
        <f t="shared" si="24"/>
        <v>#DIV/0!</v>
      </c>
      <c r="AH24" s="17" t="e">
        <f t="shared" si="24"/>
        <v>#DIV/0!</v>
      </c>
      <c r="AI24" s="17" t="e">
        <f t="shared" si="24"/>
        <v>#DIV/0!</v>
      </c>
      <c r="AJ24" s="17">
        <f t="shared" si="24"/>
        <v>8.34885307357012E-2</v>
      </c>
      <c r="AK24" s="17" t="e">
        <f t="shared" si="24"/>
        <v>#DIV/0!</v>
      </c>
      <c r="AL24" s="17" t="e">
        <f t="shared" si="24"/>
        <v>#DIV/0!</v>
      </c>
      <c r="AM24" s="17" t="e">
        <f t="shared" si="24"/>
        <v>#DIV/0!</v>
      </c>
      <c r="AN24" s="17" t="e">
        <f t="shared" si="24"/>
        <v>#DIV/0!</v>
      </c>
      <c r="AO24" s="17">
        <f t="shared" si="24"/>
        <v>8.4849264870312038E-2</v>
      </c>
      <c r="AP24" s="17">
        <f t="shared" si="24"/>
        <v>8.5130844861757732E-2</v>
      </c>
      <c r="AQ24" s="17">
        <f t="shared" si="24"/>
        <v>8.540475532859404E-2</v>
      </c>
      <c r="AR24" s="18">
        <f t="shared" si="24"/>
        <v>8.5671194183023991E-2</v>
      </c>
    </row>
    <row r="25" spans="1:44" hidden="1" outlineLevel="1" x14ac:dyDescent="0.2">
      <c r="A25" s="2"/>
      <c r="B25" s="2"/>
      <c r="C25" s="2"/>
      <c r="D25" s="2"/>
      <c r="E25" s="7" t="s">
        <v>58</v>
      </c>
      <c r="F25" s="2">
        <v>15</v>
      </c>
      <c r="G25" s="2"/>
      <c r="H25" s="2"/>
      <c r="I25" s="2"/>
      <c r="J25" s="2"/>
      <c r="K25" s="2">
        <v>54</v>
      </c>
      <c r="L25" s="2"/>
      <c r="M25" s="2"/>
      <c r="N25" s="2"/>
      <c r="O25" s="2"/>
      <c r="P25" s="2">
        <v>29</v>
      </c>
      <c r="Q25" s="2"/>
      <c r="R25" s="2"/>
      <c r="S25" s="2"/>
      <c r="T25" s="2"/>
      <c r="U25" s="2">
        <v>20</v>
      </c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R25" s="106"/>
    </row>
    <row r="26" spans="1:44" hidden="1" outlineLevel="1" x14ac:dyDescent="0.2">
      <c r="A26" s="2"/>
      <c r="B26" s="2"/>
      <c r="C26" s="2"/>
      <c r="D26" s="2"/>
      <c r="E26" s="7" t="s">
        <v>60</v>
      </c>
      <c r="F26" s="2">
        <v>824</v>
      </c>
      <c r="G26" s="2"/>
      <c r="H26" s="2"/>
      <c r="I26" s="2"/>
      <c r="J26" s="2"/>
      <c r="K26" s="2">
        <v>493</v>
      </c>
      <c r="L26" s="2"/>
      <c r="M26" s="2"/>
      <c r="N26" s="2"/>
      <c r="O26" s="2"/>
      <c r="P26" s="2">
        <v>0</v>
      </c>
      <c r="Q26" s="2"/>
      <c r="R26" s="2"/>
      <c r="S26" s="2"/>
      <c r="T26" s="2"/>
      <c r="U26" s="2">
        <v>0</v>
      </c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R26" s="106"/>
    </row>
    <row r="27" spans="1:44" hidden="1" outlineLevel="1" x14ac:dyDescent="0.2">
      <c r="A27" s="2"/>
      <c r="B27" s="2"/>
      <c r="C27" s="2"/>
      <c r="D27" s="2"/>
      <c r="E27" s="7" t="s">
        <v>59</v>
      </c>
      <c r="F27" s="2">
        <v>63</v>
      </c>
      <c r="G27" s="2"/>
      <c r="H27" s="2"/>
      <c r="I27" s="2"/>
      <c r="J27" s="2"/>
      <c r="K27" s="2">
        <v>62</v>
      </c>
      <c r="L27" s="2"/>
      <c r="M27" s="2"/>
      <c r="N27" s="2"/>
      <c r="O27" s="2"/>
      <c r="P27" s="2">
        <v>32</v>
      </c>
      <c r="Q27" s="2"/>
      <c r="R27" s="2"/>
      <c r="S27" s="2"/>
      <c r="T27" s="2"/>
      <c r="U27" s="2">
        <v>30</v>
      </c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R27" s="106"/>
    </row>
    <row r="28" spans="1:44" hidden="1" outlineLevel="1" x14ac:dyDescent="0.2">
      <c r="A28" s="2"/>
      <c r="B28" s="2"/>
      <c r="C28" s="2"/>
      <c r="D28" s="2"/>
      <c r="E28" s="7" t="s">
        <v>61</v>
      </c>
      <c r="F28" s="2">
        <v>0</v>
      </c>
      <c r="G28" s="2"/>
      <c r="H28" s="2"/>
      <c r="I28" s="2"/>
      <c r="J28" s="2"/>
      <c r="K28" s="2">
        <v>0</v>
      </c>
      <c r="L28" s="2"/>
      <c r="M28" s="2"/>
      <c r="N28" s="2"/>
      <c r="O28" s="2"/>
      <c r="P28" s="2">
        <v>207</v>
      </c>
      <c r="Q28" s="2"/>
      <c r="R28" s="2"/>
      <c r="S28" s="2"/>
      <c r="T28" s="2"/>
      <c r="U28" s="2">
        <v>60</v>
      </c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R28" s="106"/>
    </row>
    <row r="29" spans="1:44" hidden="1" outlineLevel="1" x14ac:dyDescent="0.2">
      <c r="A29" s="2"/>
      <c r="B29" s="2"/>
      <c r="C29" s="2"/>
      <c r="D29" s="2"/>
      <c r="E29" s="7" t="s">
        <v>62</v>
      </c>
      <c r="F29" s="14">
        <f t="shared" ref="F29:U29" si="25">SUM(F25:F28)</f>
        <v>902</v>
      </c>
      <c r="G29" s="14">
        <f t="shared" si="25"/>
        <v>0</v>
      </c>
      <c r="H29" s="14">
        <f t="shared" si="25"/>
        <v>0</v>
      </c>
      <c r="I29" s="14">
        <f t="shared" si="25"/>
        <v>0</v>
      </c>
      <c r="J29" s="14">
        <f t="shared" si="25"/>
        <v>0</v>
      </c>
      <c r="K29" s="14">
        <f t="shared" si="25"/>
        <v>609</v>
      </c>
      <c r="L29" s="14">
        <f t="shared" si="25"/>
        <v>0</v>
      </c>
      <c r="M29" s="14">
        <f t="shared" si="25"/>
        <v>0</v>
      </c>
      <c r="N29" s="14">
        <f t="shared" si="25"/>
        <v>0</v>
      </c>
      <c r="O29" s="14">
        <f t="shared" si="25"/>
        <v>0</v>
      </c>
      <c r="P29" s="14">
        <f t="shared" si="25"/>
        <v>268</v>
      </c>
      <c r="Q29" s="14">
        <f t="shared" si="25"/>
        <v>0</v>
      </c>
      <c r="R29" s="14">
        <f t="shared" si="25"/>
        <v>0</v>
      </c>
      <c r="S29" s="14">
        <f t="shared" si="25"/>
        <v>0</v>
      </c>
      <c r="T29" s="14">
        <f t="shared" si="25"/>
        <v>0</v>
      </c>
      <c r="U29" s="14">
        <f t="shared" si="25"/>
        <v>110</v>
      </c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R29" s="106"/>
    </row>
    <row r="30" spans="1:44" collapsed="1" x14ac:dyDescent="0.2">
      <c r="A30" s="2"/>
      <c r="B30" s="2"/>
      <c r="C30" s="2"/>
      <c r="D30" s="2"/>
      <c r="E30" s="8" t="s">
        <v>55</v>
      </c>
      <c r="F30" s="96">
        <f t="shared" ref="F30:AR30" si="26">F23+F29</f>
        <v>1353</v>
      </c>
      <c r="G30" s="96">
        <f t="shared" si="26"/>
        <v>0</v>
      </c>
      <c r="H30" s="96">
        <f t="shared" si="26"/>
        <v>0</v>
      </c>
      <c r="I30" s="96">
        <f t="shared" si="26"/>
        <v>0</v>
      </c>
      <c r="J30" s="96">
        <f t="shared" si="26"/>
        <v>0</v>
      </c>
      <c r="K30" s="96">
        <f t="shared" si="26"/>
        <v>979</v>
      </c>
      <c r="L30" s="96">
        <f t="shared" si="26"/>
        <v>0</v>
      </c>
      <c r="M30" s="96">
        <f t="shared" si="26"/>
        <v>0</v>
      </c>
      <c r="N30" s="96">
        <f t="shared" si="26"/>
        <v>0</v>
      </c>
      <c r="O30" s="96">
        <f t="shared" si="26"/>
        <v>0</v>
      </c>
      <c r="P30" s="96">
        <f t="shared" si="26"/>
        <v>720</v>
      </c>
      <c r="Q30" s="96">
        <f t="shared" si="26"/>
        <v>0</v>
      </c>
      <c r="R30" s="96">
        <f t="shared" si="26"/>
        <v>0</v>
      </c>
      <c r="S30" s="96">
        <f t="shared" si="26"/>
        <v>0</v>
      </c>
      <c r="T30" s="96">
        <f t="shared" si="26"/>
        <v>0</v>
      </c>
      <c r="U30" s="96">
        <f t="shared" si="26"/>
        <v>481</v>
      </c>
      <c r="V30" s="96">
        <f t="shared" si="26"/>
        <v>0</v>
      </c>
      <c r="W30" s="96">
        <f t="shared" si="26"/>
        <v>0</v>
      </c>
      <c r="X30" s="96">
        <f t="shared" si="26"/>
        <v>0</v>
      </c>
      <c r="Y30" s="96">
        <f t="shared" si="26"/>
        <v>0</v>
      </c>
      <c r="Z30" s="96">
        <f t="shared" si="26"/>
        <v>511.45369166568889</v>
      </c>
      <c r="AA30" s="96" t="e">
        <f t="shared" si="26"/>
        <v>#DIV/0!</v>
      </c>
      <c r="AB30" s="96" t="e">
        <f t="shared" si="26"/>
        <v>#DIV/0!</v>
      </c>
      <c r="AC30" s="96" t="e">
        <f t="shared" si="26"/>
        <v>#DIV/0!</v>
      </c>
      <c r="AD30" s="96" t="e">
        <f t="shared" si="26"/>
        <v>#DIV/0!</v>
      </c>
      <c r="AE30" s="96">
        <f t="shared" si="26"/>
        <v>488.5870920321488</v>
      </c>
      <c r="AF30" s="96" t="e">
        <f t="shared" si="26"/>
        <v>#DIV/0!</v>
      </c>
      <c r="AG30" s="96" t="e">
        <f t="shared" si="26"/>
        <v>#DIV/0!</v>
      </c>
      <c r="AH30" s="96" t="e">
        <f t="shared" si="26"/>
        <v>#DIV/0!</v>
      </c>
      <c r="AI30" s="96" t="e">
        <f t="shared" si="26"/>
        <v>#DIV/0!</v>
      </c>
      <c r="AJ30" s="96">
        <f t="shared" si="26"/>
        <v>501.71152980410864</v>
      </c>
      <c r="AK30" s="96" t="e">
        <f t="shared" si="26"/>
        <v>#DIV/0!</v>
      </c>
      <c r="AL30" s="96" t="e">
        <f t="shared" si="26"/>
        <v>#DIV/0!</v>
      </c>
      <c r="AM30" s="96" t="e">
        <f t="shared" si="26"/>
        <v>#DIV/0!</v>
      </c>
      <c r="AN30" s="96" t="e">
        <f t="shared" si="26"/>
        <v>#DIV/0!</v>
      </c>
      <c r="AO30" s="96">
        <f t="shared" si="26"/>
        <v>535.05105585904505</v>
      </c>
      <c r="AP30" s="96">
        <f t="shared" si="26"/>
        <v>552.60341615785308</v>
      </c>
      <c r="AQ30" s="96">
        <f t="shared" si="26"/>
        <v>570.69674872570693</v>
      </c>
      <c r="AR30" s="32">
        <f t="shared" si="26"/>
        <v>589.34843879973039</v>
      </c>
    </row>
    <row r="31" spans="1:44" x14ac:dyDescent="0.2">
      <c r="A31" s="2"/>
      <c r="B31" s="2"/>
      <c r="C31" s="2"/>
      <c r="D31" s="2"/>
      <c r="E31" s="16" t="s">
        <v>41</v>
      </c>
      <c r="F31" s="17">
        <f t="shared" ref="F31:AR31" si="27">F30/F13</f>
        <v>0.35907643312101911</v>
      </c>
      <c r="G31" s="17" t="e">
        <f t="shared" si="27"/>
        <v>#DIV/0!</v>
      </c>
      <c r="H31" s="17" t="e">
        <f t="shared" si="27"/>
        <v>#DIV/0!</v>
      </c>
      <c r="I31" s="17" t="e">
        <f t="shared" si="27"/>
        <v>#DIV/0!</v>
      </c>
      <c r="J31" s="17" t="e">
        <f t="shared" si="27"/>
        <v>#DIV/0!</v>
      </c>
      <c r="K31" s="17">
        <f t="shared" si="27"/>
        <v>0.23613121080559576</v>
      </c>
      <c r="L31" s="17" t="e">
        <f t="shared" si="27"/>
        <v>#DIV/0!</v>
      </c>
      <c r="M31" s="17" t="e">
        <f t="shared" si="27"/>
        <v>#DIV/0!</v>
      </c>
      <c r="N31" s="17" t="e">
        <f t="shared" si="27"/>
        <v>#DIV/0!</v>
      </c>
      <c r="O31" s="17" t="e">
        <f t="shared" si="27"/>
        <v>#DIV/0!</v>
      </c>
      <c r="P31" s="17">
        <f t="shared" si="27"/>
        <v>0.15028177833437695</v>
      </c>
      <c r="Q31" s="17" t="e">
        <f t="shared" si="27"/>
        <v>#DIV/0!</v>
      </c>
      <c r="R31" s="17" t="e">
        <f t="shared" si="27"/>
        <v>#DIV/0!</v>
      </c>
      <c r="S31" s="17" t="e">
        <f t="shared" si="27"/>
        <v>#DIV/0!</v>
      </c>
      <c r="T31" s="17" t="e">
        <f t="shared" si="27"/>
        <v>#DIV/0!</v>
      </c>
      <c r="U31" s="17">
        <f t="shared" si="27"/>
        <v>9.4295236228190554E-2</v>
      </c>
      <c r="V31" s="17" t="e">
        <f t="shared" si="27"/>
        <v>#DIV/0!</v>
      </c>
      <c r="W31" s="17" t="e">
        <f t="shared" si="27"/>
        <v>#DIV/0!</v>
      </c>
      <c r="X31" s="17" t="e">
        <f t="shared" si="27"/>
        <v>#DIV/0!</v>
      </c>
      <c r="Y31" s="17" t="e">
        <f t="shared" si="27"/>
        <v>#DIV/0!</v>
      </c>
      <c r="Z31" s="17">
        <f t="shared" si="27"/>
        <v>9.3706359980788592E-2</v>
      </c>
      <c r="AA31" s="17" t="e">
        <f t="shared" si="27"/>
        <v>#DIV/0!</v>
      </c>
      <c r="AB31" s="17" t="e">
        <f t="shared" si="27"/>
        <v>#DIV/0!</v>
      </c>
      <c r="AC31" s="17" t="e">
        <f t="shared" si="27"/>
        <v>#DIV/0!</v>
      </c>
      <c r="AD31" s="17" t="e">
        <f t="shared" si="27"/>
        <v>#DIV/0!</v>
      </c>
      <c r="AE31" s="17">
        <f t="shared" si="27"/>
        <v>8.5313551451858233E-2</v>
      </c>
      <c r="AF31" s="17" t="e">
        <f t="shared" si="27"/>
        <v>#DIV/0!</v>
      </c>
      <c r="AG31" s="17" t="e">
        <f t="shared" si="27"/>
        <v>#DIV/0!</v>
      </c>
      <c r="AH31" s="17" t="e">
        <f t="shared" si="27"/>
        <v>#DIV/0!</v>
      </c>
      <c r="AI31" s="17" t="e">
        <f t="shared" si="27"/>
        <v>#DIV/0!</v>
      </c>
      <c r="AJ31" s="17">
        <f t="shared" si="27"/>
        <v>8.34885307357012E-2</v>
      </c>
      <c r="AK31" s="17" t="e">
        <f t="shared" si="27"/>
        <v>#DIV/0!</v>
      </c>
      <c r="AL31" s="17" t="e">
        <f t="shared" si="27"/>
        <v>#DIV/0!</v>
      </c>
      <c r="AM31" s="17" t="e">
        <f t="shared" si="27"/>
        <v>#DIV/0!</v>
      </c>
      <c r="AN31" s="17" t="e">
        <f t="shared" si="27"/>
        <v>#DIV/0!</v>
      </c>
      <c r="AO31" s="17">
        <f t="shared" si="27"/>
        <v>8.4849264870312038E-2</v>
      </c>
      <c r="AP31" s="17">
        <f t="shared" si="27"/>
        <v>8.5130844861757732E-2</v>
      </c>
      <c r="AQ31" s="17">
        <f t="shared" si="27"/>
        <v>8.540475532859404E-2</v>
      </c>
      <c r="AR31" s="18">
        <f t="shared" si="27"/>
        <v>8.5671194183023991E-2</v>
      </c>
    </row>
    <row r="32" spans="1:44" x14ac:dyDescent="0.2">
      <c r="A32" s="2"/>
      <c r="B32" s="2"/>
      <c r="C32" s="2"/>
      <c r="D32" s="2"/>
      <c r="E32" s="19" t="s">
        <v>42</v>
      </c>
      <c r="F32" s="2">
        <v>387</v>
      </c>
      <c r="G32" s="2"/>
      <c r="H32" s="2"/>
      <c r="I32" s="2"/>
      <c r="J32" s="2"/>
      <c r="K32" s="2">
        <v>412</v>
      </c>
      <c r="L32" s="2"/>
      <c r="M32" s="2"/>
      <c r="N32" s="2"/>
      <c r="O32" s="2"/>
      <c r="P32" s="2">
        <v>456</v>
      </c>
      <c r="Q32" s="2"/>
      <c r="R32" s="2"/>
      <c r="S32" s="2"/>
      <c r="T32" s="2"/>
      <c r="U32" s="2">
        <v>439</v>
      </c>
      <c r="V32" s="2"/>
      <c r="W32" s="2"/>
      <c r="X32" s="2"/>
      <c r="Y32" s="2"/>
      <c r="Z32" s="98">
        <f>AVERAGE(F32,K32,P32,U32)</f>
        <v>423.5</v>
      </c>
      <c r="AA32" s="98"/>
      <c r="AB32" s="98"/>
      <c r="AC32" s="98"/>
      <c r="AD32" s="98"/>
      <c r="AE32" s="98">
        <f>AVERAGE(F32:Z32)</f>
        <v>423.5</v>
      </c>
      <c r="AF32" s="98">
        <f t="shared" ref="AF32:AI32" si="28">AVERAGE(G32:AA32)</f>
        <v>432.625</v>
      </c>
      <c r="AG32" s="98">
        <f t="shared" si="28"/>
        <v>432.625</v>
      </c>
      <c r="AH32" s="98">
        <f t="shared" si="28"/>
        <v>432.625</v>
      </c>
      <c r="AI32" s="98">
        <f t="shared" si="28"/>
        <v>432.625</v>
      </c>
      <c r="AJ32" s="98">
        <f>AVERAGE(F32:AE32)</f>
        <v>423.5</v>
      </c>
      <c r="AK32" s="98"/>
      <c r="AL32" s="98"/>
      <c r="AM32" s="98"/>
      <c r="AN32" s="98"/>
      <c r="AO32" s="98">
        <f>AVERAGE(F32:AJ32)</f>
        <v>426.81818181818181</v>
      </c>
      <c r="AP32" s="98">
        <f t="shared" ref="AP32:AR32" si="29">AVERAGE(G32:AK32)</f>
        <v>430.8</v>
      </c>
      <c r="AQ32" s="98">
        <f t="shared" si="29"/>
        <v>430.8</v>
      </c>
      <c r="AR32" s="41">
        <f t="shared" si="29"/>
        <v>430.8</v>
      </c>
    </row>
    <row r="33" spans="1:44" x14ac:dyDescent="0.2">
      <c r="A33" s="2"/>
      <c r="B33" s="2"/>
      <c r="C33" s="2"/>
      <c r="D33" s="2"/>
      <c r="E33" s="31" t="s">
        <v>43</v>
      </c>
      <c r="F33" s="96">
        <f>F23-F32</f>
        <v>64</v>
      </c>
      <c r="G33" s="96">
        <f t="shared" ref="G33:Y33" si="30">G23-G32</f>
        <v>0</v>
      </c>
      <c r="H33" s="96">
        <f t="shared" si="30"/>
        <v>0</v>
      </c>
      <c r="I33" s="96">
        <f t="shared" si="30"/>
        <v>0</v>
      </c>
      <c r="J33" s="96">
        <f t="shared" si="30"/>
        <v>0</v>
      </c>
      <c r="K33" s="96">
        <f t="shared" si="30"/>
        <v>-42</v>
      </c>
      <c r="L33" s="96">
        <f t="shared" si="30"/>
        <v>0</v>
      </c>
      <c r="M33" s="96">
        <f t="shared" si="30"/>
        <v>0</v>
      </c>
      <c r="N33" s="96">
        <f t="shared" si="30"/>
        <v>0</v>
      </c>
      <c r="O33" s="96">
        <f t="shared" si="30"/>
        <v>0</v>
      </c>
      <c r="P33" s="96">
        <f t="shared" si="30"/>
        <v>-4</v>
      </c>
      <c r="Q33" s="96">
        <f t="shared" si="30"/>
        <v>0</v>
      </c>
      <c r="R33" s="96">
        <f t="shared" si="30"/>
        <v>0</v>
      </c>
      <c r="S33" s="96">
        <f t="shared" si="30"/>
        <v>0</v>
      </c>
      <c r="T33" s="96">
        <f t="shared" si="30"/>
        <v>0</v>
      </c>
      <c r="U33" s="96">
        <f>U23-U32</f>
        <v>-68</v>
      </c>
      <c r="V33" s="96">
        <f t="shared" si="30"/>
        <v>0</v>
      </c>
      <c r="W33" s="96">
        <f t="shared" si="30"/>
        <v>0</v>
      </c>
      <c r="X33" s="96">
        <f t="shared" si="30"/>
        <v>0</v>
      </c>
      <c r="Y33" s="96">
        <f t="shared" si="30"/>
        <v>0</v>
      </c>
      <c r="Z33" s="99">
        <f>Z30-Z32</f>
        <v>87.953691665688893</v>
      </c>
      <c r="AA33" s="99" t="e">
        <f t="shared" ref="AA33:AR33" si="31">AA30-AA32</f>
        <v>#DIV/0!</v>
      </c>
      <c r="AB33" s="99" t="e">
        <f t="shared" si="31"/>
        <v>#DIV/0!</v>
      </c>
      <c r="AC33" s="99" t="e">
        <f t="shared" si="31"/>
        <v>#DIV/0!</v>
      </c>
      <c r="AD33" s="99" t="e">
        <f t="shared" si="31"/>
        <v>#DIV/0!</v>
      </c>
      <c r="AE33" s="99">
        <f t="shared" si="31"/>
        <v>65.087092032148803</v>
      </c>
      <c r="AF33" s="99" t="e">
        <f t="shared" si="31"/>
        <v>#DIV/0!</v>
      </c>
      <c r="AG33" s="99" t="e">
        <f t="shared" si="31"/>
        <v>#DIV/0!</v>
      </c>
      <c r="AH33" s="99" t="e">
        <f t="shared" si="31"/>
        <v>#DIV/0!</v>
      </c>
      <c r="AI33" s="99" t="e">
        <f t="shared" si="31"/>
        <v>#DIV/0!</v>
      </c>
      <c r="AJ33" s="99">
        <f t="shared" si="31"/>
        <v>78.211529804108636</v>
      </c>
      <c r="AK33" s="99" t="e">
        <f t="shared" si="31"/>
        <v>#DIV/0!</v>
      </c>
      <c r="AL33" s="99" t="e">
        <f t="shared" si="31"/>
        <v>#DIV/0!</v>
      </c>
      <c r="AM33" s="99" t="e">
        <f t="shared" si="31"/>
        <v>#DIV/0!</v>
      </c>
      <c r="AN33" s="99" t="e">
        <f t="shared" si="31"/>
        <v>#DIV/0!</v>
      </c>
      <c r="AO33" s="99">
        <f t="shared" si="31"/>
        <v>108.23287404086324</v>
      </c>
      <c r="AP33" s="99">
        <f t="shared" si="31"/>
        <v>121.80341615785306</v>
      </c>
      <c r="AQ33" s="99">
        <f t="shared" si="31"/>
        <v>139.89674872570691</v>
      </c>
      <c r="AR33" s="42">
        <f t="shared" si="31"/>
        <v>158.54843879973038</v>
      </c>
    </row>
    <row r="34" spans="1:44" x14ac:dyDescent="0.2">
      <c r="A34" s="2"/>
      <c r="B34" s="2"/>
      <c r="C34" s="2"/>
      <c r="D34" s="2"/>
      <c r="E34" s="16" t="s">
        <v>41</v>
      </c>
      <c r="F34" s="17">
        <f>F33/F13</f>
        <v>1.6985138004246284E-2</v>
      </c>
      <c r="G34" s="17" t="e">
        <f t="shared" ref="G34:T34" si="32">G33/G13</f>
        <v>#DIV/0!</v>
      </c>
      <c r="H34" s="17" t="e">
        <f t="shared" si="32"/>
        <v>#DIV/0!</v>
      </c>
      <c r="I34" s="17" t="e">
        <f t="shared" si="32"/>
        <v>#DIV/0!</v>
      </c>
      <c r="J34" s="17" t="e">
        <f t="shared" si="32"/>
        <v>#DIV/0!</v>
      </c>
      <c r="K34" s="17">
        <f t="shared" si="32"/>
        <v>-1.0130246020260492E-2</v>
      </c>
      <c r="L34" s="17" t="e">
        <f t="shared" si="32"/>
        <v>#DIV/0!</v>
      </c>
      <c r="M34" s="17" t="e">
        <f t="shared" si="32"/>
        <v>#DIV/0!</v>
      </c>
      <c r="N34" s="17" t="e">
        <f t="shared" si="32"/>
        <v>#DIV/0!</v>
      </c>
      <c r="O34" s="17" t="e">
        <f t="shared" si="32"/>
        <v>#DIV/0!</v>
      </c>
      <c r="P34" s="17">
        <f t="shared" si="32"/>
        <v>-8.3489876852431638E-4</v>
      </c>
      <c r="Q34" s="17" t="e">
        <f t="shared" si="32"/>
        <v>#DIV/0!</v>
      </c>
      <c r="R34" s="17" t="e">
        <f t="shared" si="32"/>
        <v>#DIV/0!</v>
      </c>
      <c r="S34" s="17" t="e">
        <f t="shared" si="32"/>
        <v>#DIV/0!</v>
      </c>
      <c r="T34" s="17" t="e">
        <f t="shared" si="32"/>
        <v>#DIV/0!</v>
      </c>
      <c r="U34" s="77">
        <f>U33/U13</f>
        <v>-1.3330719466771222E-2</v>
      </c>
      <c r="V34" s="77" t="e">
        <f t="shared" ref="V34:AR34" si="33">V33/V13</f>
        <v>#DIV/0!</v>
      </c>
      <c r="W34" s="77" t="e">
        <f t="shared" si="33"/>
        <v>#DIV/0!</v>
      </c>
      <c r="X34" s="77" t="e">
        <f t="shared" si="33"/>
        <v>#DIV/0!</v>
      </c>
      <c r="Y34" s="77" t="e">
        <f t="shared" si="33"/>
        <v>#DIV/0!</v>
      </c>
      <c r="Z34" s="77">
        <f t="shared" si="33"/>
        <v>1.6114499566955095E-2</v>
      </c>
      <c r="AA34" s="77" t="e">
        <f t="shared" si="33"/>
        <v>#DIV/0!</v>
      </c>
      <c r="AB34" s="77" t="e">
        <f t="shared" si="33"/>
        <v>#DIV/0!</v>
      </c>
      <c r="AC34" s="77" t="e">
        <f t="shared" si="33"/>
        <v>#DIV/0!</v>
      </c>
      <c r="AD34" s="77" t="e">
        <f t="shared" si="33"/>
        <v>#DIV/0!</v>
      </c>
      <c r="AE34" s="77">
        <f t="shared" si="33"/>
        <v>1.1365038220394055E-2</v>
      </c>
      <c r="AF34" s="77" t="e">
        <f t="shared" si="33"/>
        <v>#DIV/0!</v>
      </c>
      <c r="AG34" s="77" t="e">
        <f t="shared" si="33"/>
        <v>#DIV/0!</v>
      </c>
      <c r="AH34" s="77" t="e">
        <f t="shared" si="33"/>
        <v>#DIV/0!</v>
      </c>
      <c r="AI34" s="77" t="e">
        <f t="shared" si="33"/>
        <v>#DIV/0!</v>
      </c>
      <c r="AJ34" s="77">
        <f t="shared" si="33"/>
        <v>1.3014980366279516E-2</v>
      </c>
      <c r="AK34" s="77" t="e">
        <f t="shared" si="33"/>
        <v>#DIV/0!</v>
      </c>
      <c r="AL34" s="77" t="e">
        <f t="shared" si="33"/>
        <v>#DIV/0!</v>
      </c>
      <c r="AM34" s="77" t="e">
        <f t="shared" si="33"/>
        <v>#DIV/0!</v>
      </c>
      <c r="AN34" s="77" t="e">
        <f t="shared" si="33"/>
        <v>#DIV/0!</v>
      </c>
      <c r="AO34" s="77">
        <f t="shared" si="33"/>
        <v>1.7163744836320143E-2</v>
      </c>
      <c r="AP34" s="77">
        <f t="shared" si="33"/>
        <v>1.876432070699378E-2</v>
      </c>
      <c r="AQ34" s="77">
        <f t="shared" si="33"/>
        <v>2.0935545231093079E-2</v>
      </c>
      <c r="AR34" s="43">
        <f t="shared" si="33"/>
        <v>2.3047544022497563E-2</v>
      </c>
    </row>
    <row r="35" spans="1:44" x14ac:dyDescent="0.2">
      <c r="A35" s="2"/>
      <c r="B35" s="2"/>
      <c r="C35" s="2"/>
      <c r="D35" s="2"/>
      <c r="E35" s="8" t="s">
        <v>57</v>
      </c>
      <c r="F35" s="96">
        <f>F30-F32</f>
        <v>966</v>
      </c>
      <c r="G35" s="96">
        <f t="shared" ref="G35:AN35" si="34">G30-G32</f>
        <v>0</v>
      </c>
      <c r="H35" s="96">
        <f t="shared" si="34"/>
        <v>0</v>
      </c>
      <c r="I35" s="96">
        <f t="shared" si="34"/>
        <v>0</v>
      </c>
      <c r="J35" s="96">
        <f t="shared" si="34"/>
        <v>0</v>
      </c>
      <c r="K35" s="96">
        <f t="shared" si="34"/>
        <v>567</v>
      </c>
      <c r="L35" s="96">
        <f t="shared" si="34"/>
        <v>0</v>
      </c>
      <c r="M35" s="96">
        <f t="shared" si="34"/>
        <v>0</v>
      </c>
      <c r="N35" s="96">
        <f t="shared" si="34"/>
        <v>0</v>
      </c>
      <c r="O35" s="96">
        <f t="shared" si="34"/>
        <v>0</v>
      </c>
      <c r="P35" s="96">
        <f t="shared" si="34"/>
        <v>264</v>
      </c>
      <c r="Q35" s="96">
        <f t="shared" si="34"/>
        <v>0</v>
      </c>
      <c r="R35" s="96">
        <f t="shared" si="34"/>
        <v>0</v>
      </c>
      <c r="S35" s="96">
        <f t="shared" si="34"/>
        <v>0</v>
      </c>
      <c r="T35" s="96">
        <f t="shared" si="34"/>
        <v>0</v>
      </c>
      <c r="U35" s="96">
        <f t="shared" si="34"/>
        <v>42</v>
      </c>
      <c r="V35" s="96">
        <f t="shared" si="34"/>
        <v>0</v>
      </c>
      <c r="W35" s="96">
        <f t="shared" si="34"/>
        <v>0</v>
      </c>
      <c r="X35" s="96">
        <f t="shared" si="34"/>
        <v>0</v>
      </c>
      <c r="Y35" s="96">
        <f t="shared" si="34"/>
        <v>0</v>
      </c>
      <c r="Z35" s="96">
        <f t="shared" si="34"/>
        <v>87.953691665688893</v>
      </c>
      <c r="AA35" s="96" t="e">
        <f t="shared" si="34"/>
        <v>#DIV/0!</v>
      </c>
      <c r="AB35" s="96" t="e">
        <f t="shared" si="34"/>
        <v>#DIV/0!</v>
      </c>
      <c r="AC35" s="96" t="e">
        <f t="shared" si="34"/>
        <v>#DIV/0!</v>
      </c>
      <c r="AD35" s="96" t="e">
        <f t="shared" si="34"/>
        <v>#DIV/0!</v>
      </c>
      <c r="AE35" s="96">
        <f t="shared" si="34"/>
        <v>65.087092032148803</v>
      </c>
      <c r="AF35" s="96" t="e">
        <f t="shared" si="34"/>
        <v>#DIV/0!</v>
      </c>
      <c r="AG35" s="96" t="e">
        <f t="shared" si="34"/>
        <v>#DIV/0!</v>
      </c>
      <c r="AH35" s="96" t="e">
        <f t="shared" si="34"/>
        <v>#DIV/0!</v>
      </c>
      <c r="AI35" s="96" t="e">
        <f t="shared" si="34"/>
        <v>#DIV/0!</v>
      </c>
      <c r="AJ35" s="96">
        <f t="shared" si="34"/>
        <v>78.211529804108636</v>
      </c>
      <c r="AK35" s="96" t="e">
        <f t="shared" si="34"/>
        <v>#DIV/0!</v>
      </c>
      <c r="AL35" s="96" t="e">
        <f t="shared" si="34"/>
        <v>#DIV/0!</v>
      </c>
      <c r="AM35" s="96" t="e">
        <f t="shared" si="34"/>
        <v>#DIV/0!</v>
      </c>
      <c r="AN35" s="96" t="e">
        <f t="shared" si="34"/>
        <v>#DIV/0!</v>
      </c>
      <c r="AO35" s="96">
        <f>AO30-AO32</f>
        <v>108.23287404086324</v>
      </c>
      <c r="AP35" s="96">
        <f t="shared" ref="AP35:AR35" si="35">AP30-AP32</f>
        <v>121.80341615785306</v>
      </c>
      <c r="AQ35" s="96">
        <f t="shared" si="35"/>
        <v>139.89674872570691</v>
      </c>
      <c r="AR35" s="32">
        <f t="shared" si="35"/>
        <v>158.54843879973038</v>
      </c>
    </row>
    <row r="36" spans="1:44" x14ac:dyDescent="0.2">
      <c r="A36" s="2"/>
      <c r="B36" s="2"/>
      <c r="C36" s="2"/>
      <c r="D36" s="2"/>
      <c r="E36" s="34" t="s">
        <v>56</v>
      </c>
      <c r="F36" s="17">
        <f>F35/F13</f>
        <v>0.25636942675159236</v>
      </c>
      <c r="G36" s="17" t="e">
        <f t="shared" ref="G36:AR36" si="36">G35/G13</f>
        <v>#DIV/0!</v>
      </c>
      <c r="H36" s="17" t="e">
        <f t="shared" si="36"/>
        <v>#DIV/0!</v>
      </c>
      <c r="I36" s="17" t="e">
        <f t="shared" si="36"/>
        <v>#DIV/0!</v>
      </c>
      <c r="J36" s="17" t="e">
        <f t="shared" si="36"/>
        <v>#DIV/0!</v>
      </c>
      <c r="K36" s="17">
        <f t="shared" si="36"/>
        <v>0.13675832127351664</v>
      </c>
      <c r="L36" s="17" t="e">
        <f t="shared" si="36"/>
        <v>#DIV/0!</v>
      </c>
      <c r="M36" s="17" t="e">
        <f t="shared" si="36"/>
        <v>#DIV/0!</v>
      </c>
      <c r="N36" s="17" t="e">
        <f t="shared" si="36"/>
        <v>#DIV/0!</v>
      </c>
      <c r="O36" s="17" t="e">
        <f t="shared" si="36"/>
        <v>#DIV/0!</v>
      </c>
      <c r="P36" s="17">
        <f t="shared" si="36"/>
        <v>5.5103318722604884E-2</v>
      </c>
      <c r="Q36" s="17" t="e">
        <f t="shared" si="36"/>
        <v>#DIV/0!</v>
      </c>
      <c r="R36" s="17" t="e">
        <f t="shared" si="36"/>
        <v>#DIV/0!</v>
      </c>
      <c r="S36" s="17" t="e">
        <f t="shared" si="36"/>
        <v>#DIV/0!</v>
      </c>
      <c r="T36" s="17" t="e">
        <f t="shared" si="36"/>
        <v>#DIV/0!</v>
      </c>
      <c r="U36" s="17">
        <f t="shared" si="36"/>
        <v>8.2336796706528135E-3</v>
      </c>
      <c r="V36" s="17" t="e">
        <f t="shared" si="36"/>
        <v>#DIV/0!</v>
      </c>
      <c r="W36" s="17" t="e">
        <f t="shared" si="36"/>
        <v>#DIV/0!</v>
      </c>
      <c r="X36" s="17" t="e">
        <f t="shared" si="36"/>
        <v>#DIV/0!</v>
      </c>
      <c r="Y36" s="17" t="e">
        <f t="shared" si="36"/>
        <v>#DIV/0!</v>
      </c>
      <c r="Z36" s="17">
        <f t="shared" si="36"/>
        <v>1.6114499566955095E-2</v>
      </c>
      <c r="AA36" s="17" t="e">
        <f t="shared" si="36"/>
        <v>#DIV/0!</v>
      </c>
      <c r="AB36" s="17" t="e">
        <f t="shared" si="36"/>
        <v>#DIV/0!</v>
      </c>
      <c r="AC36" s="17" t="e">
        <f t="shared" si="36"/>
        <v>#DIV/0!</v>
      </c>
      <c r="AD36" s="17" t="e">
        <f t="shared" si="36"/>
        <v>#DIV/0!</v>
      </c>
      <c r="AE36" s="17">
        <f t="shared" si="36"/>
        <v>1.1365038220394055E-2</v>
      </c>
      <c r="AF36" s="17" t="e">
        <f t="shared" si="36"/>
        <v>#DIV/0!</v>
      </c>
      <c r="AG36" s="17" t="e">
        <f t="shared" si="36"/>
        <v>#DIV/0!</v>
      </c>
      <c r="AH36" s="17" t="e">
        <f t="shared" si="36"/>
        <v>#DIV/0!</v>
      </c>
      <c r="AI36" s="17" t="e">
        <f t="shared" si="36"/>
        <v>#DIV/0!</v>
      </c>
      <c r="AJ36" s="17">
        <f t="shared" si="36"/>
        <v>1.3014980366279516E-2</v>
      </c>
      <c r="AK36" s="17" t="e">
        <f t="shared" si="36"/>
        <v>#DIV/0!</v>
      </c>
      <c r="AL36" s="17" t="e">
        <f t="shared" si="36"/>
        <v>#DIV/0!</v>
      </c>
      <c r="AM36" s="17" t="e">
        <f t="shared" si="36"/>
        <v>#DIV/0!</v>
      </c>
      <c r="AN36" s="17" t="e">
        <f t="shared" si="36"/>
        <v>#DIV/0!</v>
      </c>
      <c r="AO36" s="17">
        <f t="shared" si="36"/>
        <v>1.7163744836320143E-2</v>
      </c>
      <c r="AP36" s="17">
        <f t="shared" si="36"/>
        <v>1.876432070699378E-2</v>
      </c>
      <c r="AQ36" s="17">
        <f t="shared" si="36"/>
        <v>2.0935545231093079E-2</v>
      </c>
      <c r="AR36" s="18">
        <f t="shared" si="36"/>
        <v>2.3047544022497563E-2</v>
      </c>
    </row>
    <row r="37" spans="1:44" x14ac:dyDescent="0.2">
      <c r="A37" s="2"/>
      <c r="B37" s="2"/>
      <c r="C37" s="2"/>
      <c r="D37" s="2"/>
      <c r="E37" s="19" t="s">
        <v>44</v>
      </c>
      <c r="F37" s="2">
        <f>146-6-6</f>
        <v>134</v>
      </c>
      <c r="G37" s="2"/>
      <c r="H37" s="2"/>
      <c r="I37" s="2"/>
      <c r="J37" s="2"/>
      <c r="K37" s="2">
        <f>283-15+28</f>
        <v>296</v>
      </c>
      <c r="L37" s="2"/>
      <c r="M37" s="2"/>
      <c r="N37" s="2"/>
      <c r="O37" s="2"/>
      <c r="P37" s="2">
        <f>399-15+12</f>
        <v>396</v>
      </c>
      <c r="Q37" s="2"/>
      <c r="R37" s="2"/>
      <c r="S37" s="2"/>
      <c r="T37" s="2"/>
      <c r="U37" s="2">
        <f>421-12+6+15</f>
        <v>430</v>
      </c>
      <c r="V37" s="2"/>
      <c r="W37" s="2"/>
      <c r="X37" s="2"/>
      <c r="Y37" s="2"/>
      <c r="Z37" s="2">
        <v>365</v>
      </c>
      <c r="AA37" s="2"/>
      <c r="AB37" s="2"/>
      <c r="AC37" s="2"/>
      <c r="AD37" s="2"/>
      <c r="AE37" s="2">
        <v>314</v>
      </c>
      <c r="AF37" s="2"/>
      <c r="AG37" s="2"/>
      <c r="AH37" s="2"/>
      <c r="AI37" s="2"/>
      <c r="AJ37" s="2">
        <v>235</v>
      </c>
      <c r="AK37" s="2"/>
      <c r="AL37" s="2"/>
      <c r="AM37" s="2"/>
      <c r="AN37" s="2"/>
      <c r="AO37" s="2">
        <v>75</v>
      </c>
      <c r="AP37" s="2">
        <v>75</v>
      </c>
      <c r="AQ37" s="2">
        <v>75</v>
      </c>
      <c r="AR37" s="26">
        <v>75</v>
      </c>
    </row>
    <row r="38" spans="1:44" x14ac:dyDescent="0.2">
      <c r="A38" s="2"/>
      <c r="B38" s="2"/>
      <c r="C38" s="2"/>
      <c r="D38" s="2"/>
      <c r="E38" s="16" t="s">
        <v>45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98"/>
      <c r="AA38" s="98"/>
      <c r="AB38" s="98"/>
      <c r="AC38" s="98"/>
      <c r="AD38" s="98"/>
      <c r="AE38" s="98"/>
      <c r="AF38" s="98"/>
      <c r="AG38" s="98"/>
      <c r="AH38" s="98"/>
      <c r="AI38" s="98"/>
      <c r="AJ38" s="98"/>
      <c r="AK38" s="98"/>
      <c r="AL38" s="98"/>
      <c r="AM38" s="98"/>
      <c r="AN38" s="98"/>
      <c r="AO38" s="98"/>
      <c r="AR38" s="106"/>
    </row>
    <row r="39" spans="1:44" x14ac:dyDescent="0.2">
      <c r="A39" s="2"/>
      <c r="B39" s="2"/>
      <c r="C39" s="2"/>
      <c r="D39" s="2"/>
      <c r="E39" s="31" t="s">
        <v>46</v>
      </c>
      <c r="F39" s="96">
        <f>F35-F37</f>
        <v>832</v>
      </c>
      <c r="G39" s="96">
        <f t="shared" ref="G39:J39" si="37">G35-G37</f>
        <v>0</v>
      </c>
      <c r="H39" s="96">
        <f t="shared" si="37"/>
        <v>0</v>
      </c>
      <c r="I39" s="96">
        <f t="shared" si="37"/>
        <v>0</v>
      </c>
      <c r="J39" s="96">
        <f t="shared" si="37"/>
        <v>0</v>
      </c>
      <c r="K39" s="96">
        <f>K35-K37</f>
        <v>271</v>
      </c>
      <c r="L39" s="96">
        <f t="shared" ref="L39:AN39" si="38">L35-L37</f>
        <v>0</v>
      </c>
      <c r="M39" s="96">
        <f t="shared" si="38"/>
        <v>0</v>
      </c>
      <c r="N39" s="96">
        <f t="shared" si="38"/>
        <v>0</v>
      </c>
      <c r="O39" s="96">
        <f t="shared" si="38"/>
        <v>0</v>
      </c>
      <c r="P39" s="96">
        <f t="shared" si="38"/>
        <v>-132</v>
      </c>
      <c r="Q39" s="96">
        <f t="shared" si="38"/>
        <v>0</v>
      </c>
      <c r="R39" s="96">
        <f t="shared" si="38"/>
        <v>0</v>
      </c>
      <c r="S39" s="96">
        <f t="shared" si="38"/>
        <v>0</v>
      </c>
      <c r="T39" s="96">
        <f t="shared" si="38"/>
        <v>0</v>
      </c>
      <c r="U39" s="96">
        <f>U35-U37</f>
        <v>-388</v>
      </c>
      <c r="V39" s="96">
        <f t="shared" si="38"/>
        <v>0</v>
      </c>
      <c r="W39" s="96">
        <f t="shared" si="38"/>
        <v>0</v>
      </c>
      <c r="X39" s="96">
        <f t="shared" si="38"/>
        <v>0</v>
      </c>
      <c r="Y39" s="96">
        <f t="shared" si="38"/>
        <v>0</v>
      </c>
      <c r="Z39" s="96">
        <f>Z35-Z37</f>
        <v>-277.04630833431111</v>
      </c>
      <c r="AA39" s="96" t="e">
        <f t="shared" si="38"/>
        <v>#DIV/0!</v>
      </c>
      <c r="AB39" s="96" t="e">
        <f t="shared" si="38"/>
        <v>#DIV/0!</v>
      </c>
      <c r="AC39" s="96" t="e">
        <f t="shared" si="38"/>
        <v>#DIV/0!</v>
      </c>
      <c r="AD39" s="96" t="e">
        <f t="shared" si="38"/>
        <v>#DIV/0!</v>
      </c>
      <c r="AE39" s="96">
        <f t="shared" si="38"/>
        <v>-248.9129079678512</v>
      </c>
      <c r="AF39" s="96" t="e">
        <f t="shared" si="38"/>
        <v>#DIV/0!</v>
      </c>
      <c r="AG39" s="96" t="e">
        <f t="shared" si="38"/>
        <v>#DIV/0!</v>
      </c>
      <c r="AH39" s="96" t="e">
        <f t="shared" si="38"/>
        <v>#DIV/0!</v>
      </c>
      <c r="AI39" s="96" t="e">
        <f t="shared" si="38"/>
        <v>#DIV/0!</v>
      </c>
      <c r="AJ39" s="96">
        <f t="shared" si="38"/>
        <v>-156.78847019589136</v>
      </c>
      <c r="AK39" s="96" t="e">
        <f t="shared" si="38"/>
        <v>#DIV/0!</v>
      </c>
      <c r="AL39" s="96" t="e">
        <f t="shared" si="38"/>
        <v>#DIV/0!</v>
      </c>
      <c r="AM39" s="96" t="e">
        <f t="shared" si="38"/>
        <v>#DIV/0!</v>
      </c>
      <c r="AN39" s="96" t="e">
        <f t="shared" si="38"/>
        <v>#DIV/0!</v>
      </c>
      <c r="AO39" s="96">
        <f>AO35-AO37</f>
        <v>33.232874040863237</v>
      </c>
      <c r="AP39" s="96">
        <f t="shared" ref="AP39:AR39" si="39">AP35-AP37</f>
        <v>46.803416157853064</v>
      </c>
      <c r="AQ39" s="96">
        <f t="shared" si="39"/>
        <v>64.896748725706914</v>
      </c>
      <c r="AR39" s="32">
        <f t="shared" si="39"/>
        <v>83.548438799730377</v>
      </c>
    </row>
    <row r="40" spans="1:44" x14ac:dyDescent="0.2">
      <c r="A40" s="2"/>
      <c r="B40" s="2"/>
      <c r="C40" s="2"/>
      <c r="D40" s="2"/>
      <c r="E40" s="19" t="s">
        <v>47</v>
      </c>
      <c r="F40" s="2">
        <v>58</v>
      </c>
      <c r="G40" s="2"/>
      <c r="H40" s="2"/>
      <c r="I40" s="2"/>
      <c r="J40" s="2"/>
      <c r="K40" s="2">
        <v>82</v>
      </c>
      <c r="L40" s="2"/>
      <c r="M40" s="2"/>
      <c r="N40" s="2"/>
      <c r="O40" s="2"/>
      <c r="P40" s="2">
        <v>71</v>
      </c>
      <c r="Q40" s="2"/>
      <c r="R40" s="2"/>
      <c r="S40" s="2"/>
      <c r="T40" s="2"/>
      <c r="U40" s="2">
        <v>35</v>
      </c>
      <c r="V40" s="2"/>
      <c r="W40" s="2"/>
      <c r="X40" s="2"/>
      <c r="Y40" s="2"/>
      <c r="Z40" s="98">
        <f>Z39*0.2</f>
        <v>-55.409261666862221</v>
      </c>
      <c r="AA40" s="98" t="e">
        <f t="shared" ref="AA40:AR40" si="40">AA39*0.2</f>
        <v>#DIV/0!</v>
      </c>
      <c r="AB40" s="98" t="e">
        <f t="shared" si="40"/>
        <v>#DIV/0!</v>
      </c>
      <c r="AC40" s="98" t="e">
        <f t="shared" si="40"/>
        <v>#DIV/0!</v>
      </c>
      <c r="AD40" s="98" t="e">
        <f t="shared" si="40"/>
        <v>#DIV/0!</v>
      </c>
      <c r="AE40" s="98">
        <f t="shared" si="40"/>
        <v>-49.782581593570242</v>
      </c>
      <c r="AF40" s="98" t="e">
        <f t="shared" si="40"/>
        <v>#DIV/0!</v>
      </c>
      <c r="AG40" s="98" t="e">
        <f t="shared" si="40"/>
        <v>#DIV/0!</v>
      </c>
      <c r="AH40" s="98" t="e">
        <f t="shared" si="40"/>
        <v>#DIV/0!</v>
      </c>
      <c r="AI40" s="98" t="e">
        <f t="shared" si="40"/>
        <v>#DIV/0!</v>
      </c>
      <c r="AJ40" s="98">
        <f t="shared" si="40"/>
        <v>-31.357694039178273</v>
      </c>
      <c r="AK40" s="98" t="e">
        <f t="shared" si="40"/>
        <v>#DIV/0!</v>
      </c>
      <c r="AL40" s="98" t="e">
        <f t="shared" si="40"/>
        <v>#DIV/0!</v>
      </c>
      <c r="AM40" s="98" t="e">
        <f t="shared" si="40"/>
        <v>#DIV/0!</v>
      </c>
      <c r="AN40" s="98" t="e">
        <f t="shared" si="40"/>
        <v>#DIV/0!</v>
      </c>
      <c r="AO40" s="98">
        <f t="shared" si="40"/>
        <v>6.6465748081726481</v>
      </c>
      <c r="AP40" s="98">
        <f t="shared" si="40"/>
        <v>9.3606832315706132</v>
      </c>
      <c r="AQ40" s="98">
        <f t="shared" si="40"/>
        <v>12.979349745141384</v>
      </c>
      <c r="AR40" s="41">
        <f t="shared" si="40"/>
        <v>16.709687759946075</v>
      </c>
    </row>
    <row r="41" spans="1:44" x14ac:dyDescent="0.2">
      <c r="A41" s="2"/>
      <c r="B41" s="2"/>
      <c r="C41" s="2"/>
      <c r="D41" s="2"/>
      <c r="E41" s="16" t="s">
        <v>48</v>
      </c>
      <c r="F41" s="17">
        <f>F40/F39</f>
        <v>6.9711538461538464E-2</v>
      </c>
      <c r="G41" s="17" t="e">
        <f t="shared" ref="G41:AR41" si="41">G40/G39</f>
        <v>#DIV/0!</v>
      </c>
      <c r="H41" s="17" t="e">
        <f t="shared" si="41"/>
        <v>#DIV/0!</v>
      </c>
      <c r="I41" s="17" t="e">
        <f t="shared" si="41"/>
        <v>#DIV/0!</v>
      </c>
      <c r="J41" s="17" t="e">
        <f t="shared" si="41"/>
        <v>#DIV/0!</v>
      </c>
      <c r="K41" s="17">
        <f>K40/K39</f>
        <v>0.30258302583025831</v>
      </c>
      <c r="L41" s="17" t="e">
        <f t="shared" si="41"/>
        <v>#DIV/0!</v>
      </c>
      <c r="M41" s="17" t="e">
        <f t="shared" si="41"/>
        <v>#DIV/0!</v>
      </c>
      <c r="N41" s="17" t="e">
        <f t="shared" si="41"/>
        <v>#DIV/0!</v>
      </c>
      <c r="O41" s="17" t="e">
        <f t="shared" si="41"/>
        <v>#DIV/0!</v>
      </c>
      <c r="P41" s="17">
        <f>P40/P39</f>
        <v>-0.53787878787878785</v>
      </c>
      <c r="Q41" s="17" t="e">
        <f t="shared" si="41"/>
        <v>#DIV/0!</v>
      </c>
      <c r="R41" s="17" t="e">
        <f t="shared" si="41"/>
        <v>#DIV/0!</v>
      </c>
      <c r="S41" s="17" t="e">
        <f t="shared" si="41"/>
        <v>#DIV/0!</v>
      </c>
      <c r="T41" s="17" t="e">
        <f t="shared" si="41"/>
        <v>#DIV/0!</v>
      </c>
      <c r="U41" s="17">
        <f t="shared" si="41"/>
        <v>-9.0206185567010308E-2</v>
      </c>
      <c r="V41" s="17" t="e">
        <f t="shared" si="41"/>
        <v>#DIV/0!</v>
      </c>
      <c r="W41" s="17" t="e">
        <f t="shared" si="41"/>
        <v>#DIV/0!</v>
      </c>
      <c r="X41" s="17" t="e">
        <f t="shared" si="41"/>
        <v>#DIV/0!</v>
      </c>
      <c r="Y41" s="17" t="e">
        <f t="shared" si="41"/>
        <v>#DIV/0!</v>
      </c>
      <c r="Z41" s="17">
        <f t="shared" si="41"/>
        <v>0.2</v>
      </c>
      <c r="AA41" s="17" t="e">
        <f t="shared" si="41"/>
        <v>#DIV/0!</v>
      </c>
      <c r="AB41" s="17" t="e">
        <f t="shared" si="41"/>
        <v>#DIV/0!</v>
      </c>
      <c r="AC41" s="17" t="e">
        <f t="shared" si="41"/>
        <v>#DIV/0!</v>
      </c>
      <c r="AD41" s="17" t="e">
        <f t="shared" si="41"/>
        <v>#DIV/0!</v>
      </c>
      <c r="AE41" s="17">
        <f t="shared" si="41"/>
        <v>0.2</v>
      </c>
      <c r="AF41" s="17" t="e">
        <f t="shared" si="41"/>
        <v>#DIV/0!</v>
      </c>
      <c r="AG41" s="17" t="e">
        <f t="shared" si="41"/>
        <v>#DIV/0!</v>
      </c>
      <c r="AH41" s="17" t="e">
        <f t="shared" si="41"/>
        <v>#DIV/0!</v>
      </c>
      <c r="AI41" s="17" t="e">
        <f t="shared" si="41"/>
        <v>#DIV/0!</v>
      </c>
      <c r="AJ41" s="17">
        <f t="shared" si="41"/>
        <v>0.2</v>
      </c>
      <c r="AK41" s="17" t="e">
        <f t="shared" si="41"/>
        <v>#DIV/0!</v>
      </c>
      <c r="AL41" s="17" t="e">
        <f t="shared" si="41"/>
        <v>#DIV/0!</v>
      </c>
      <c r="AM41" s="17" t="e">
        <f t="shared" si="41"/>
        <v>#DIV/0!</v>
      </c>
      <c r="AN41" s="17" t="e">
        <f t="shared" si="41"/>
        <v>#DIV/0!</v>
      </c>
      <c r="AO41" s="17">
        <f t="shared" si="41"/>
        <v>0.2</v>
      </c>
      <c r="AP41" s="17">
        <f t="shared" si="41"/>
        <v>0.2</v>
      </c>
      <c r="AQ41" s="17">
        <f t="shared" si="41"/>
        <v>0.2</v>
      </c>
      <c r="AR41" s="18">
        <f t="shared" si="41"/>
        <v>0.19999999999999998</v>
      </c>
    </row>
    <row r="42" spans="1:44" x14ac:dyDescent="0.2">
      <c r="A42" s="2"/>
      <c r="B42" s="2"/>
      <c r="C42" s="2"/>
      <c r="D42" s="2"/>
      <c r="E42" s="31" t="s">
        <v>94</v>
      </c>
      <c r="F42" s="96">
        <f>F39-F40</f>
        <v>774</v>
      </c>
      <c r="G42" s="96">
        <f t="shared" ref="G42:T42" si="42">G39-G40</f>
        <v>0</v>
      </c>
      <c r="H42" s="96">
        <f t="shared" si="42"/>
        <v>0</v>
      </c>
      <c r="I42" s="96">
        <f t="shared" si="42"/>
        <v>0</v>
      </c>
      <c r="J42" s="96">
        <f t="shared" si="42"/>
        <v>0</v>
      </c>
      <c r="K42" s="96">
        <f t="shared" si="42"/>
        <v>189</v>
      </c>
      <c r="L42" s="96">
        <f t="shared" si="42"/>
        <v>0</v>
      </c>
      <c r="M42" s="96">
        <f t="shared" si="42"/>
        <v>0</v>
      </c>
      <c r="N42" s="96">
        <f t="shared" si="42"/>
        <v>0</v>
      </c>
      <c r="O42" s="96">
        <f t="shared" si="42"/>
        <v>0</v>
      </c>
      <c r="P42" s="96">
        <f t="shared" si="42"/>
        <v>-203</v>
      </c>
      <c r="Q42" s="96">
        <f t="shared" si="42"/>
        <v>0</v>
      </c>
      <c r="R42" s="96">
        <f t="shared" si="42"/>
        <v>0</v>
      </c>
      <c r="S42" s="96">
        <f t="shared" si="42"/>
        <v>0</v>
      </c>
      <c r="T42" s="96">
        <f t="shared" si="42"/>
        <v>0</v>
      </c>
      <c r="U42" s="96">
        <f>U39-U40</f>
        <v>-423</v>
      </c>
      <c r="V42" s="96">
        <f t="shared" ref="V42:AN42" si="43">V39-V40</f>
        <v>0</v>
      </c>
      <c r="W42" s="96">
        <f t="shared" si="43"/>
        <v>0</v>
      </c>
      <c r="X42" s="96">
        <f t="shared" si="43"/>
        <v>0</v>
      </c>
      <c r="Y42" s="96">
        <f t="shared" si="43"/>
        <v>0</v>
      </c>
      <c r="Z42" s="96">
        <f t="shared" si="43"/>
        <v>-221.63704666744889</v>
      </c>
      <c r="AA42" s="96" t="e">
        <f t="shared" si="43"/>
        <v>#DIV/0!</v>
      </c>
      <c r="AB42" s="96" t="e">
        <f t="shared" si="43"/>
        <v>#DIV/0!</v>
      </c>
      <c r="AC42" s="96" t="e">
        <f t="shared" si="43"/>
        <v>#DIV/0!</v>
      </c>
      <c r="AD42" s="96" t="e">
        <f t="shared" si="43"/>
        <v>#DIV/0!</v>
      </c>
      <c r="AE42" s="96">
        <f t="shared" si="43"/>
        <v>-199.13032637428097</v>
      </c>
      <c r="AF42" s="96" t="e">
        <f t="shared" si="43"/>
        <v>#DIV/0!</v>
      </c>
      <c r="AG42" s="96" t="e">
        <f t="shared" si="43"/>
        <v>#DIV/0!</v>
      </c>
      <c r="AH42" s="96" t="e">
        <f t="shared" si="43"/>
        <v>#DIV/0!</v>
      </c>
      <c r="AI42" s="96" t="e">
        <f t="shared" si="43"/>
        <v>#DIV/0!</v>
      </c>
      <c r="AJ42" s="96">
        <f t="shared" si="43"/>
        <v>-125.43077615671309</v>
      </c>
      <c r="AK42" s="96" t="e">
        <f t="shared" si="43"/>
        <v>#DIV/0!</v>
      </c>
      <c r="AL42" s="96" t="e">
        <f t="shared" si="43"/>
        <v>#DIV/0!</v>
      </c>
      <c r="AM42" s="96" t="e">
        <f t="shared" si="43"/>
        <v>#DIV/0!</v>
      </c>
      <c r="AN42" s="96" t="e">
        <f t="shared" si="43"/>
        <v>#DIV/0!</v>
      </c>
      <c r="AO42" s="96">
        <f>AO39-AO40</f>
        <v>26.586299232690589</v>
      </c>
      <c r="AP42" s="96">
        <f t="shared" ref="AP42:AR42" si="44">AP39-AP40</f>
        <v>37.442732926282453</v>
      </c>
      <c r="AQ42" s="96">
        <f t="shared" si="44"/>
        <v>51.91739898056553</v>
      </c>
      <c r="AR42" s="32">
        <f t="shared" si="44"/>
        <v>66.838751039784299</v>
      </c>
    </row>
    <row r="43" spans="1:44" x14ac:dyDescent="0.2">
      <c r="A43" s="2"/>
      <c r="B43" s="2"/>
      <c r="C43" s="2"/>
      <c r="D43" s="2"/>
      <c r="E43" s="16" t="s">
        <v>50</v>
      </c>
      <c r="F43" s="17">
        <f>F42/F13</f>
        <v>0.20541401273885351</v>
      </c>
      <c r="G43" s="17" t="e">
        <f t="shared" ref="G43:AN43" si="45">G42/G13</f>
        <v>#DIV/0!</v>
      </c>
      <c r="H43" s="17" t="e">
        <f t="shared" si="45"/>
        <v>#DIV/0!</v>
      </c>
      <c r="I43" s="17" t="e">
        <f t="shared" si="45"/>
        <v>#DIV/0!</v>
      </c>
      <c r="J43" s="17" t="e">
        <f t="shared" si="45"/>
        <v>#DIV/0!</v>
      </c>
      <c r="K43" s="17">
        <f t="shared" si="45"/>
        <v>4.5586107091172216E-2</v>
      </c>
      <c r="L43" s="17" t="e">
        <f t="shared" si="45"/>
        <v>#DIV/0!</v>
      </c>
      <c r="M43" s="17" t="e">
        <f t="shared" si="45"/>
        <v>#DIV/0!</v>
      </c>
      <c r="N43" s="17" t="e">
        <f t="shared" si="45"/>
        <v>#DIV/0!</v>
      </c>
      <c r="O43" s="17" t="e">
        <f t="shared" si="45"/>
        <v>#DIV/0!</v>
      </c>
      <c r="P43" s="17">
        <f t="shared" si="45"/>
        <v>-4.2371112502609061E-2</v>
      </c>
      <c r="Q43" s="17" t="e">
        <f t="shared" si="45"/>
        <v>#DIV/0!</v>
      </c>
      <c r="R43" s="17" t="e">
        <f t="shared" si="45"/>
        <v>#DIV/0!</v>
      </c>
      <c r="S43" s="17" t="e">
        <f t="shared" si="45"/>
        <v>#DIV/0!</v>
      </c>
      <c r="T43" s="17" t="e">
        <f t="shared" si="45"/>
        <v>#DIV/0!</v>
      </c>
      <c r="U43" s="17">
        <f t="shared" si="45"/>
        <v>-8.2924916683003336E-2</v>
      </c>
      <c r="V43" s="17" t="e">
        <f t="shared" si="45"/>
        <v>#DIV/0!</v>
      </c>
      <c r="W43" s="17" t="e">
        <f t="shared" si="45"/>
        <v>#DIV/0!</v>
      </c>
      <c r="X43" s="17" t="e">
        <f t="shared" si="45"/>
        <v>#DIV/0!</v>
      </c>
      <c r="Y43" s="17" t="e">
        <f t="shared" si="45"/>
        <v>#DIV/0!</v>
      </c>
      <c r="Z43" s="78">
        <f t="shared" si="45"/>
        <v>-4.0607392650661142E-2</v>
      </c>
      <c r="AA43" s="78" t="e">
        <f t="shared" si="45"/>
        <v>#DIV/0!</v>
      </c>
      <c r="AB43" s="78" t="e">
        <f t="shared" si="45"/>
        <v>#DIV/0!</v>
      </c>
      <c r="AC43" s="78" t="e">
        <f t="shared" si="45"/>
        <v>#DIV/0!</v>
      </c>
      <c r="AD43" s="78" t="e">
        <f t="shared" si="45"/>
        <v>#DIV/0!</v>
      </c>
      <c r="AE43" s="78">
        <f t="shared" si="45"/>
        <v>-3.4770700294390305E-2</v>
      </c>
      <c r="AF43" s="78" t="e">
        <f t="shared" si="45"/>
        <v>#DIV/0!</v>
      </c>
      <c r="AG43" s="78" t="e">
        <f t="shared" si="45"/>
        <v>#DIV/0!</v>
      </c>
      <c r="AH43" s="78" t="e">
        <f t="shared" si="45"/>
        <v>#DIV/0!</v>
      </c>
      <c r="AI43" s="78" t="e">
        <f t="shared" si="45"/>
        <v>#DIV/0!</v>
      </c>
      <c r="AJ43" s="78">
        <f t="shared" si="45"/>
        <v>-2.0872614218077394E-2</v>
      </c>
      <c r="AK43" s="78" t="e">
        <f t="shared" si="45"/>
        <v>#DIV/0!</v>
      </c>
      <c r="AL43" s="78" t="e">
        <f t="shared" si="45"/>
        <v>#DIV/0!</v>
      </c>
      <c r="AM43" s="78" t="e">
        <f t="shared" si="45"/>
        <v>#DIV/0!</v>
      </c>
      <c r="AN43" s="78" t="e">
        <f t="shared" si="45"/>
        <v>#DIV/0!</v>
      </c>
      <c r="AO43" s="78">
        <f>AO42/AO13</f>
        <v>4.2160984840860071E-3</v>
      </c>
      <c r="AP43" s="78">
        <f t="shared" ref="AP43:AR43" si="46">AP42/AP13</f>
        <v>5.7682080760735836E-3</v>
      </c>
      <c r="AQ43" s="78">
        <f t="shared" si="46"/>
        <v>7.7694375640526021E-3</v>
      </c>
      <c r="AR43" s="44">
        <f t="shared" si="46"/>
        <v>9.716078371128074E-3</v>
      </c>
    </row>
    <row r="44" spans="1:44" x14ac:dyDescent="0.2">
      <c r="E44" s="19" t="s">
        <v>51</v>
      </c>
      <c r="F44" s="2">
        <v>350.2</v>
      </c>
      <c r="G44" s="2"/>
      <c r="H44" s="2"/>
      <c r="I44" s="2"/>
      <c r="J44" s="2"/>
      <c r="K44" s="2">
        <v>350.5</v>
      </c>
      <c r="L44" s="2"/>
      <c r="M44" s="2"/>
      <c r="N44" s="2"/>
      <c r="O44" s="2"/>
      <c r="P44" s="2">
        <v>351.8</v>
      </c>
      <c r="Q44" s="2"/>
      <c r="R44" s="2"/>
      <c r="S44" s="2"/>
      <c r="T44" s="2"/>
      <c r="U44" s="2">
        <v>353.8</v>
      </c>
      <c r="V44" s="2"/>
      <c r="W44" s="2"/>
      <c r="X44" s="2"/>
      <c r="Y44" s="2"/>
      <c r="Z44" s="2">
        <f>U44</f>
        <v>353.8</v>
      </c>
      <c r="AA44" s="2">
        <f t="shared" ref="AA44:AO44" si="47">V44</f>
        <v>0</v>
      </c>
      <c r="AB44" s="2">
        <f t="shared" si="47"/>
        <v>0</v>
      </c>
      <c r="AC44" s="2">
        <f t="shared" si="47"/>
        <v>0</v>
      </c>
      <c r="AD44" s="2">
        <f t="shared" si="47"/>
        <v>0</v>
      </c>
      <c r="AE44" s="2">
        <f t="shared" si="47"/>
        <v>353.8</v>
      </c>
      <c r="AF44" s="2">
        <f t="shared" si="47"/>
        <v>0</v>
      </c>
      <c r="AG44" s="2">
        <f t="shared" si="47"/>
        <v>0</v>
      </c>
      <c r="AH44" s="2">
        <f t="shared" si="47"/>
        <v>0</v>
      </c>
      <c r="AI44" s="2">
        <f t="shared" si="47"/>
        <v>0</v>
      </c>
      <c r="AJ44" s="2">
        <f t="shared" si="47"/>
        <v>353.8</v>
      </c>
      <c r="AK44" s="2">
        <f t="shared" si="47"/>
        <v>0</v>
      </c>
      <c r="AL44" s="2">
        <f t="shared" si="47"/>
        <v>0</v>
      </c>
      <c r="AM44" s="2">
        <f t="shared" si="47"/>
        <v>0</v>
      </c>
      <c r="AN44" s="2">
        <f t="shared" si="47"/>
        <v>0</v>
      </c>
      <c r="AO44" s="2">
        <f t="shared" si="47"/>
        <v>353.8</v>
      </c>
      <c r="AP44" s="2">
        <f>AO44</f>
        <v>353.8</v>
      </c>
      <c r="AQ44" s="2">
        <f t="shared" ref="AQ44:AR44" si="48">AP44</f>
        <v>353.8</v>
      </c>
      <c r="AR44" s="26">
        <f t="shared" si="48"/>
        <v>353.8</v>
      </c>
    </row>
    <row r="45" spans="1:44" x14ac:dyDescent="0.2">
      <c r="E45" s="7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R45" s="106"/>
    </row>
    <row r="46" spans="1:44" x14ac:dyDescent="0.2">
      <c r="E46" s="81" t="s">
        <v>63</v>
      </c>
      <c r="F46" s="100">
        <f>F42/F44</f>
        <v>2.2101656196459167</v>
      </c>
      <c r="G46" s="100" t="e">
        <f t="shared" ref="G46:AN46" si="49">G42/G44</f>
        <v>#DIV/0!</v>
      </c>
      <c r="H46" s="100" t="e">
        <f t="shared" si="49"/>
        <v>#DIV/0!</v>
      </c>
      <c r="I46" s="100" t="e">
        <f t="shared" si="49"/>
        <v>#DIV/0!</v>
      </c>
      <c r="J46" s="100" t="e">
        <f t="shared" si="49"/>
        <v>#DIV/0!</v>
      </c>
      <c r="K46" s="100">
        <f t="shared" si="49"/>
        <v>0.53922967189728954</v>
      </c>
      <c r="L46" s="100" t="e">
        <f t="shared" si="49"/>
        <v>#DIV/0!</v>
      </c>
      <c r="M46" s="100" t="e">
        <f t="shared" si="49"/>
        <v>#DIV/0!</v>
      </c>
      <c r="N46" s="100" t="e">
        <f t="shared" si="49"/>
        <v>#DIV/0!</v>
      </c>
      <c r="O46" s="100" t="e">
        <f t="shared" si="49"/>
        <v>#DIV/0!</v>
      </c>
      <c r="P46" s="100">
        <f t="shared" si="49"/>
        <v>-0.5770324047754406</v>
      </c>
      <c r="Q46" s="100" t="e">
        <f t="shared" si="49"/>
        <v>#DIV/0!</v>
      </c>
      <c r="R46" s="100" t="e">
        <f t="shared" si="49"/>
        <v>#DIV/0!</v>
      </c>
      <c r="S46" s="100" t="e">
        <f t="shared" si="49"/>
        <v>#DIV/0!</v>
      </c>
      <c r="T46" s="100" t="e">
        <f t="shared" si="49"/>
        <v>#DIV/0!</v>
      </c>
      <c r="U46" s="100">
        <f t="shared" si="49"/>
        <v>-1.1955907292255512</v>
      </c>
      <c r="V46" s="100" t="e">
        <f t="shared" si="49"/>
        <v>#DIV/0!</v>
      </c>
      <c r="W46" s="100" t="e">
        <f t="shared" si="49"/>
        <v>#DIV/0!</v>
      </c>
      <c r="X46" s="100" t="e">
        <f t="shared" si="49"/>
        <v>#DIV/0!</v>
      </c>
      <c r="Y46" s="100" t="e">
        <f t="shared" si="49"/>
        <v>#DIV/0!</v>
      </c>
      <c r="Z46" s="100">
        <f t="shared" si="49"/>
        <v>-0.62644727718329252</v>
      </c>
      <c r="AA46" s="100" t="e">
        <f t="shared" si="49"/>
        <v>#DIV/0!</v>
      </c>
      <c r="AB46" s="100" t="e">
        <f t="shared" si="49"/>
        <v>#DIV/0!</v>
      </c>
      <c r="AC46" s="100" t="e">
        <f t="shared" si="49"/>
        <v>#DIV/0!</v>
      </c>
      <c r="AD46" s="100" t="e">
        <f t="shared" si="49"/>
        <v>#DIV/0!</v>
      </c>
      <c r="AE46" s="100">
        <f t="shared" si="49"/>
        <v>-0.56283303101831816</v>
      </c>
      <c r="AF46" s="100" t="e">
        <f t="shared" si="49"/>
        <v>#DIV/0!</v>
      </c>
      <c r="AG46" s="100" t="e">
        <f t="shared" si="49"/>
        <v>#DIV/0!</v>
      </c>
      <c r="AH46" s="100" t="e">
        <f t="shared" si="49"/>
        <v>#DIV/0!</v>
      </c>
      <c r="AI46" s="100" t="e">
        <f t="shared" si="49"/>
        <v>#DIV/0!</v>
      </c>
      <c r="AJ46" s="100">
        <f t="shared" si="49"/>
        <v>-0.35452452277194202</v>
      </c>
      <c r="AK46" s="100" t="e">
        <f t="shared" si="49"/>
        <v>#DIV/0!</v>
      </c>
      <c r="AL46" s="100" t="e">
        <f t="shared" si="49"/>
        <v>#DIV/0!</v>
      </c>
      <c r="AM46" s="100" t="e">
        <f t="shared" si="49"/>
        <v>#DIV/0!</v>
      </c>
      <c r="AN46" s="100" t="e">
        <f t="shared" si="49"/>
        <v>#DIV/0!</v>
      </c>
      <c r="AO46" s="100">
        <f>AO42/AO44</f>
        <v>7.5144995004778378E-2</v>
      </c>
      <c r="AP46" s="100">
        <f t="shared" ref="AP46:AR46" si="50">AP42/AP44</f>
        <v>0.10583022308163496</v>
      </c>
      <c r="AQ46" s="100">
        <f t="shared" si="50"/>
        <v>0.14674222436564593</v>
      </c>
      <c r="AR46" s="82">
        <f t="shared" si="50"/>
        <v>0.18891676382075834</v>
      </c>
    </row>
    <row r="47" spans="1:44" x14ac:dyDescent="0.2">
      <c r="E47" s="16" t="s">
        <v>34</v>
      </c>
      <c r="F47" s="95" t="s">
        <v>12</v>
      </c>
      <c r="G47" s="2"/>
      <c r="H47" s="2"/>
      <c r="I47" s="2"/>
      <c r="J47" s="2"/>
      <c r="K47" s="17">
        <f>(K46-F46)/F46</f>
        <v>-0.7560229572371695</v>
      </c>
      <c r="L47" s="17" t="e">
        <f t="shared" ref="L47:AN47" si="51">(L46-G46)/G46</f>
        <v>#DIV/0!</v>
      </c>
      <c r="M47" s="17" t="e">
        <f t="shared" si="51"/>
        <v>#DIV/0!</v>
      </c>
      <c r="N47" s="17" t="e">
        <f t="shared" si="51"/>
        <v>#DIV/0!</v>
      </c>
      <c r="O47" s="17" t="e">
        <f t="shared" si="51"/>
        <v>#DIV/0!</v>
      </c>
      <c r="P47" s="17">
        <f t="shared" si="51"/>
        <v>-2.0701050681153017</v>
      </c>
      <c r="Q47" s="17" t="e">
        <f t="shared" si="51"/>
        <v>#DIV/0!</v>
      </c>
      <c r="R47" s="17" t="e">
        <f t="shared" si="51"/>
        <v>#DIV/0!</v>
      </c>
      <c r="S47" s="17" t="e">
        <f t="shared" si="51"/>
        <v>#DIV/0!</v>
      </c>
      <c r="T47" s="17" t="e">
        <f t="shared" si="51"/>
        <v>#DIV/0!</v>
      </c>
      <c r="U47" s="17">
        <f t="shared" si="51"/>
        <v>1.0719646233573839</v>
      </c>
      <c r="V47" s="17" t="e">
        <f t="shared" si="51"/>
        <v>#DIV/0!</v>
      </c>
      <c r="W47" s="17" t="e">
        <f t="shared" si="51"/>
        <v>#DIV/0!</v>
      </c>
      <c r="X47" s="17" t="e">
        <f t="shared" si="51"/>
        <v>#DIV/0!</v>
      </c>
      <c r="Y47" s="17" t="e">
        <f t="shared" si="51"/>
        <v>#DIV/0!</v>
      </c>
      <c r="Z47" s="17">
        <f t="shared" si="51"/>
        <v>-0.47603535066796954</v>
      </c>
      <c r="AA47" s="17" t="e">
        <f t="shared" si="51"/>
        <v>#DIV/0!</v>
      </c>
      <c r="AB47" s="17" t="e">
        <f t="shared" si="51"/>
        <v>#DIV/0!</v>
      </c>
      <c r="AC47" s="17" t="e">
        <f t="shared" si="51"/>
        <v>#DIV/0!</v>
      </c>
      <c r="AD47" s="17" t="e">
        <f t="shared" si="51"/>
        <v>#DIV/0!</v>
      </c>
      <c r="AE47" s="17">
        <f t="shared" si="51"/>
        <v>-0.10154764571889333</v>
      </c>
      <c r="AF47" s="17" t="e">
        <f t="shared" si="51"/>
        <v>#DIV/0!</v>
      </c>
      <c r="AG47" s="17" t="e">
        <f t="shared" si="51"/>
        <v>#DIV/0!</v>
      </c>
      <c r="AH47" s="17" t="e">
        <f t="shared" si="51"/>
        <v>#DIV/0!</v>
      </c>
      <c r="AI47" s="17" t="e">
        <f t="shared" si="51"/>
        <v>#DIV/0!</v>
      </c>
      <c r="AJ47" s="17">
        <f>(AJ46-AE46)/AE46</f>
        <v>-0.37010711306244654</v>
      </c>
      <c r="AK47" s="17" t="e">
        <f t="shared" si="51"/>
        <v>#DIV/0!</v>
      </c>
      <c r="AL47" s="17" t="e">
        <f t="shared" si="51"/>
        <v>#DIV/0!</v>
      </c>
      <c r="AM47" s="17" t="e">
        <f t="shared" si="51"/>
        <v>#DIV/0!</v>
      </c>
      <c r="AN47" s="17" t="e">
        <f t="shared" si="51"/>
        <v>#DIV/0!</v>
      </c>
      <c r="AO47" s="17">
        <f>(AO46-AJ46)/AJ46</f>
        <v>-1.2119599355701483</v>
      </c>
      <c r="AP47" s="17">
        <f>(AP46-AO46)/AO46</f>
        <v>0.40834693082227697</v>
      </c>
      <c r="AQ47" s="17">
        <f t="shared" ref="AQ47:AR47" si="52">(AQ46-AP46)/AP46</f>
        <v>0.3865814518075088</v>
      </c>
      <c r="AR47" s="18">
        <f t="shared" si="52"/>
        <v>0.28740561646403634</v>
      </c>
    </row>
    <row r="48" spans="1:44" x14ac:dyDescent="0.2">
      <c r="E48" s="7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R48" s="106"/>
    </row>
    <row r="49" spans="5:44" x14ac:dyDescent="0.2">
      <c r="E49" s="133" t="s">
        <v>64</v>
      </c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  <c r="Z49" s="131"/>
      <c r="AA49" s="131"/>
      <c r="AB49" s="131"/>
      <c r="AC49" s="131"/>
      <c r="AD49" s="131"/>
      <c r="AE49" s="131"/>
      <c r="AF49" s="131"/>
      <c r="AG49" s="131"/>
      <c r="AH49" s="131"/>
      <c r="AI49" s="131"/>
      <c r="AJ49" s="131"/>
      <c r="AK49" s="131"/>
      <c r="AL49" s="131"/>
      <c r="AM49" s="131"/>
      <c r="AN49" s="131"/>
      <c r="AO49" s="131"/>
      <c r="AP49" s="131"/>
      <c r="AQ49" s="131"/>
      <c r="AR49" s="132"/>
    </row>
    <row r="50" spans="5:44" x14ac:dyDescent="0.2">
      <c r="E50" s="35" t="s">
        <v>49</v>
      </c>
      <c r="F50" s="96">
        <f>F42</f>
        <v>774</v>
      </c>
      <c r="G50" s="96">
        <f t="shared" ref="G50:AR50" si="53">G42</f>
        <v>0</v>
      </c>
      <c r="H50" s="96">
        <f t="shared" si="53"/>
        <v>0</v>
      </c>
      <c r="I50" s="96">
        <f t="shared" si="53"/>
        <v>0</v>
      </c>
      <c r="J50" s="96">
        <f t="shared" si="53"/>
        <v>0</v>
      </c>
      <c r="K50" s="96">
        <f t="shared" si="53"/>
        <v>189</v>
      </c>
      <c r="L50" s="96">
        <f t="shared" si="53"/>
        <v>0</v>
      </c>
      <c r="M50" s="96">
        <f t="shared" si="53"/>
        <v>0</v>
      </c>
      <c r="N50" s="96">
        <f t="shared" si="53"/>
        <v>0</v>
      </c>
      <c r="O50" s="96">
        <f t="shared" si="53"/>
        <v>0</v>
      </c>
      <c r="P50" s="96">
        <f t="shared" si="53"/>
        <v>-203</v>
      </c>
      <c r="Q50" s="96">
        <f t="shared" si="53"/>
        <v>0</v>
      </c>
      <c r="R50" s="96">
        <f t="shared" si="53"/>
        <v>0</v>
      </c>
      <c r="S50" s="96">
        <f t="shared" si="53"/>
        <v>0</v>
      </c>
      <c r="T50" s="96">
        <f t="shared" si="53"/>
        <v>0</v>
      </c>
      <c r="U50" s="96">
        <f t="shared" si="53"/>
        <v>-423</v>
      </c>
      <c r="V50" s="96">
        <f t="shared" si="53"/>
        <v>0</v>
      </c>
      <c r="W50" s="96">
        <f t="shared" si="53"/>
        <v>0</v>
      </c>
      <c r="X50" s="96">
        <f t="shared" si="53"/>
        <v>0</v>
      </c>
      <c r="Y50" s="96">
        <f t="shared" si="53"/>
        <v>0</v>
      </c>
      <c r="Z50" s="96">
        <f t="shared" si="53"/>
        <v>-221.63704666744889</v>
      </c>
      <c r="AA50" s="96" t="e">
        <f t="shared" si="53"/>
        <v>#DIV/0!</v>
      </c>
      <c r="AB50" s="96" t="e">
        <f t="shared" si="53"/>
        <v>#DIV/0!</v>
      </c>
      <c r="AC50" s="96" t="e">
        <f t="shared" si="53"/>
        <v>#DIV/0!</v>
      </c>
      <c r="AD50" s="96" t="e">
        <f t="shared" si="53"/>
        <v>#DIV/0!</v>
      </c>
      <c r="AE50" s="96">
        <f t="shared" si="53"/>
        <v>-199.13032637428097</v>
      </c>
      <c r="AF50" s="96" t="e">
        <f t="shared" si="53"/>
        <v>#DIV/0!</v>
      </c>
      <c r="AG50" s="96" t="e">
        <f t="shared" si="53"/>
        <v>#DIV/0!</v>
      </c>
      <c r="AH50" s="96" t="e">
        <f t="shared" si="53"/>
        <v>#DIV/0!</v>
      </c>
      <c r="AI50" s="96" t="e">
        <f t="shared" si="53"/>
        <v>#DIV/0!</v>
      </c>
      <c r="AJ50" s="96">
        <f t="shared" si="53"/>
        <v>-125.43077615671309</v>
      </c>
      <c r="AK50" s="96" t="e">
        <f t="shared" si="53"/>
        <v>#DIV/0!</v>
      </c>
      <c r="AL50" s="96" t="e">
        <f t="shared" si="53"/>
        <v>#DIV/0!</v>
      </c>
      <c r="AM50" s="96" t="e">
        <f t="shared" si="53"/>
        <v>#DIV/0!</v>
      </c>
      <c r="AN50" s="96" t="e">
        <f t="shared" si="53"/>
        <v>#DIV/0!</v>
      </c>
      <c r="AO50" s="96">
        <f t="shared" si="53"/>
        <v>26.586299232690589</v>
      </c>
      <c r="AP50" s="96">
        <f t="shared" si="53"/>
        <v>37.442732926282453</v>
      </c>
      <c r="AQ50" s="96">
        <f t="shared" si="53"/>
        <v>51.91739898056553</v>
      </c>
      <c r="AR50" s="32">
        <f t="shared" si="53"/>
        <v>66.838751039784299</v>
      </c>
    </row>
    <row r="51" spans="5:44" x14ac:dyDescent="0.2">
      <c r="E51" s="36" t="s">
        <v>95</v>
      </c>
      <c r="F51" s="2">
        <f>F32</f>
        <v>387</v>
      </c>
      <c r="G51" s="2">
        <f t="shared" ref="G51:AR51" si="54">G32</f>
        <v>0</v>
      </c>
      <c r="H51" s="2">
        <f t="shared" si="54"/>
        <v>0</v>
      </c>
      <c r="I51" s="2">
        <f t="shared" si="54"/>
        <v>0</v>
      </c>
      <c r="J51" s="2">
        <f t="shared" si="54"/>
        <v>0</v>
      </c>
      <c r="K51" s="2">
        <f t="shared" si="54"/>
        <v>412</v>
      </c>
      <c r="L51" s="2">
        <f t="shared" si="54"/>
        <v>0</v>
      </c>
      <c r="M51" s="2">
        <f t="shared" si="54"/>
        <v>0</v>
      </c>
      <c r="N51" s="2">
        <f t="shared" si="54"/>
        <v>0</v>
      </c>
      <c r="O51" s="2">
        <f t="shared" si="54"/>
        <v>0</v>
      </c>
      <c r="P51" s="2">
        <f t="shared" si="54"/>
        <v>456</v>
      </c>
      <c r="Q51" s="2">
        <f t="shared" si="54"/>
        <v>0</v>
      </c>
      <c r="R51" s="2">
        <f t="shared" si="54"/>
        <v>0</v>
      </c>
      <c r="S51" s="2">
        <f t="shared" si="54"/>
        <v>0</v>
      </c>
      <c r="T51" s="2">
        <f t="shared" si="54"/>
        <v>0</v>
      </c>
      <c r="U51" s="2">
        <f t="shared" si="54"/>
        <v>439</v>
      </c>
      <c r="V51" s="2">
        <f t="shared" si="54"/>
        <v>0</v>
      </c>
      <c r="W51" s="2">
        <f t="shared" si="54"/>
        <v>0</v>
      </c>
      <c r="X51" s="2">
        <f t="shared" si="54"/>
        <v>0</v>
      </c>
      <c r="Y51" s="2">
        <f t="shared" si="54"/>
        <v>0</v>
      </c>
      <c r="Z51" s="2">
        <f t="shared" si="54"/>
        <v>423.5</v>
      </c>
      <c r="AA51" s="2">
        <f t="shared" si="54"/>
        <v>0</v>
      </c>
      <c r="AB51" s="2">
        <f t="shared" si="54"/>
        <v>0</v>
      </c>
      <c r="AC51" s="2">
        <f t="shared" si="54"/>
        <v>0</v>
      </c>
      <c r="AD51" s="2">
        <f t="shared" si="54"/>
        <v>0</v>
      </c>
      <c r="AE51" s="2">
        <f t="shared" si="54"/>
        <v>423.5</v>
      </c>
      <c r="AF51" s="2">
        <f t="shared" si="54"/>
        <v>432.625</v>
      </c>
      <c r="AG51" s="2">
        <f t="shared" si="54"/>
        <v>432.625</v>
      </c>
      <c r="AH51" s="2">
        <f t="shared" si="54"/>
        <v>432.625</v>
      </c>
      <c r="AI51" s="2">
        <f t="shared" si="54"/>
        <v>432.625</v>
      </c>
      <c r="AJ51" s="2">
        <f t="shared" si="54"/>
        <v>423.5</v>
      </c>
      <c r="AK51" s="2">
        <f t="shared" si="54"/>
        <v>0</v>
      </c>
      <c r="AL51" s="2">
        <f t="shared" si="54"/>
        <v>0</v>
      </c>
      <c r="AM51" s="2">
        <f t="shared" si="54"/>
        <v>0</v>
      </c>
      <c r="AN51" s="2">
        <f t="shared" si="54"/>
        <v>0</v>
      </c>
      <c r="AO51" s="2">
        <f t="shared" si="54"/>
        <v>426.81818181818181</v>
      </c>
      <c r="AP51" s="2">
        <f t="shared" si="54"/>
        <v>430.8</v>
      </c>
      <c r="AQ51" s="2">
        <f t="shared" si="54"/>
        <v>430.8</v>
      </c>
      <c r="AR51" s="26">
        <f t="shared" si="54"/>
        <v>430.8</v>
      </c>
    </row>
    <row r="52" spans="5:44" x14ac:dyDescent="0.2">
      <c r="E52" s="36" t="s">
        <v>65</v>
      </c>
      <c r="F52" s="2">
        <v>62</v>
      </c>
      <c r="G52" s="2"/>
      <c r="H52" s="2"/>
      <c r="I52" s="2"/>
      <c r="J52" s="2"/>
      <c r="K52" s="2">
        <v>74</v>
      </c>
      <c r="L52" s="2"/>
      <c r="M52" s="2"/>
      <c r="N52" s="2"/>
      <c r="O52" s="2"/>
      <c r="P52" s="2">
        <v>92</v>
      </c>
      <c r="Q52" s="2"/>
      <c r="R52" s="2"/>
      <c r="S52" s="2"/>
      <c r="T52" s="2"/>
      <c r="U52" s="2">
        <v>149</v>
      </c>
      <c r="V52" s="2"/>
      <c r="W52" s="2"/>
      <c r="X52" s="2"/>
      <c r="Y52" s="2"/>
      <c r="Z52" s="98">
        <f>Z13*Z53</f>
        <v>109.16093459836571</v>
      </c>
      <c r="AA52" s="98">
        <f t="shared" ref="AA52:AR52" si="55">AA13*AA53</f>
        <v>0</v>
      </c>
      <c r="AB52" s="98">
        <f t="shared" si="55"/>
        <v>0</v>
      </c>
      <c r="AC52" s="98">
        <f t="shared" si="55"/>
        <v>0</v>
      </c>
      <c r="AD52" s="98">
        <f t="shared" si="55"/>
        <v>0</v>
      </c>
      <c r="AE52" s="98">
        <f t="shared" si="55"/>
        <v>114.53915203796309</v>
      </c>
      <c r="AF52" s="98">
        <f t="shared" si="55"/>
        <v>0</v>
      </c>
      <c r="AG52" s="98">
        <f t="shared" si="55"/>
        <v>0</v>
      </c>
      <c r="AH52" s="98">
        <f t="shared" si="55"/>
        <v>0</v>
      </c>
      <c r="AI52" s="98">
        <f t="shared" si="55"/>
        <v>0</v>
      </c>
      <c r="AJ52" s="98">
        <f t="shared" si="55"/>
        <v>120.18693475212105</v>
      </c>
      <c r="AK52" s="98">
        <f t="shared" si="55"/>
        <v>0</v>
      </c>
      <c r="AL52" s="98">
        <f t="shared" si="55"/>
        <v>0</v>
      </c>
      <c r="AM52" s="98">
        <f t="shared" si="55"/>
        <v>0</v>
      </c>
      <c r="AN52" s="98">
        <f t="shared" si="55"/>
        <v>0</v>
      </c>
      <c r="AO52" s="98">
        <f>AO13*AO53</f>
        <v>126.11801803512252</v>
      </c>
      <c r="AP52" s="98">
        <f t="shared" si="55"/>
        <v>129.82448771775134</v>
      </c>
      <c r="AQ52" s="98">
        <f t="shared" si="55"/>
        <v>133.64519259611629</v>
      </c>
      <c r="AR52" s="41">
        <f t="shared" si="55"/>
        <v>137.58380384909157</v>
      </c>
    </row>
    <row r="53" spans="5:44" x14ac:dyDescent="0.2">
      <c r="E53" s="34" t="s">
        <v>96</v>
      </c>
      <c r="F53" s="17">
        <f>F52/F13</f>
        <v>1.6454352441613588E-2</v>
      </c>
      <c r="G53" s="17" t="e">
        <f t="shared" ref="G53:U53" si="56">G52/G13</f>
        <v>#DIV/0!</v>
      </c>
      <c r="H53" s="17" t="e">
        <f t="shared" si="56"/>
        <v>#DIV/0!</v>
      </c>
      <c r="I53" s="17" t="e">
        <f t="shared" si="56"/>
        <v>#DIV/0!</v>
      </c>
      <c r="J53" s="17" t="e">
        <f t="shared" si="56"/>
        <v>#DIV/0!</v>
      </c>
      <c r="K53" s="17">
        <f t="shared" si="56"/>
        <v>1.7848528702363725E-2</v>
      </c>
      <c r="L53" s="17" t="e">
        <f t="shared" si="56"/>
        <v>#DIV/0!</v>
      </c>
      <c r="M53" s="17" t="e">
        <f t="shared" si="56"/>
        <v>#DIV/0!</v>
      </c>
      <c r="N53" s="17" t="e">
        <f t="shared" si="56"/>
        <v>#DIV/0!</v>
      </c>
      <c r="O53" s="17" t="e">
        <f t="shared" si="56"/>
        <v>#DIV/0!</v>
      </c>
      <c r="P53" s="17">
        <f t="shared" si="56"/>
        <v>1.9202671676059279E-2</v>
      </c>
      <c r="Q53" s="17" t="e">
        <f t="shared" si="56"/>
        <v>#DIV/0!</v>
      </c>
      <c r="R53" s="17" t="e">
        <f t="shared" si="56"/>
        <v>#DIV/0!</v>
      </c>
      <c r="S53" s="17" t="e">
        <f t="shared" si="56"/>
        <v>#DIV/0!</v>
      </c>
      <c r="T53" s="17" t="e">
        <f t="shared" si="56"/>
        <v>#DIV/0!</v>
      </c>
      <c r="U53" s="17">
        <f t="shared" si="56"/>
        <v>2.9209958831601646E-2</v>
      </c>
      <c r="V53" s="2"/>
      <c r="W53" s="2"/>
      <c r="X53" s="2"/>
      <c r="Y53" s="2"/>
      <c r="Z53" s="50">
        <v>0.02</v>
      </c>
      <c r="AA53" s="50">
        <v>0.02</v>
      </c>
      <c r="AB53" s="50">
        <v>0.02</v>
      </c>
      <c r="AC53" s="50">
        <v>0.02</v>
      </c>
      <c r="AD53" s="50">
        <v>0.02</v>
      </c>
      <c r="AE53" s="50">
        <v>0.02</v>
      </c>
      <c r="AF53" s="50">
        <v>0.02</v>
      </c>
      <c r="AG53" s="50">
        <v>0.02</v>
      </c>
      <c r="AH53" s="50">
        <v>0.02</v>
      </c>
      <c r="AI53" s="50">
        <v>0.02</v>
      </c>
      <c r="AJ53" s="50">
        <v>0.02</v>
      </c>
      <c r="AK53" s="50">
        <v>0.02</v>
      </c>
      <c r="AL53" s="50">
        <v>0.02</v>
      </c>
      <c r="AM53" s="50">
        <v>0.02</v>
      </c>
      <c r="AN53" s="50">
        <v>0.02</v>
      </c>
      <c r="AO53" s="50">
        <v>0.02</v>
      </c>
      <c r="AP53" s="50">
        <v>0.02</v>
      </c>
      <c r="AQ53" s="50">
        <v>0.02</v>
      </c>
      <c r="AR53" s="30">
        <v>0.02</v>
      </c>
    </row>
    <row r="54" spans="5:44" x14ac:dyDescent="0.2">
      <c r="E54" s="36" t="s">
        <v>66</v>
      </c>
      <c r="F54" s="2">
        <v>-19</v>
      </c>
      <c r="G54" s="2"/>
      <c r="H54" s="2"/>
      <c r="I54" s="2"/>
      <c r="J54" s="2"/>
      <c r="K54" s="2">
        <v>-287</v>
      </c>
      <c r="L54" s="2"/>
      <c r="M54" s="2"/>
      <c r="N54" s="2"/>
      <c r="O54" s="2"/>
      <c r="P54" s="2">
        <v>-87</v>
      </c>
      <c r="Q54" s="2"/>
      <c r="R54" s="2"/>
      <c r="S54" s="2"/>
      <c r="T54" s="2"/>
      <c r="U54" s="2">
        <v>-97</v>
      </c>
      <c r="V54" s="2"/>
      <c r="W54" s="2"/>
      <c r="X54" s="2"/>
      <c r="Y54" s="2"/>
      <c r="Z54" s="2">
        <v>-60</v>
      </c>
      <c r="AA54" s="2"/>
      <c r="AB54" s="2"/>
      <c r="AC54" s="2"/>
      <c r="AD54" s="2"/>
      <c r="AE54" s="2">
        <v>-55</v>
      </c>
      <c r="AF54" s="2"/>
      <c r="AG54" s="2"/>
      <c r="AH54" s="2"/>
      <c r="AI54" s="2"/>
      <c r="AJ54" s="2">
        <v>-45</v>
      </c>
      <c r="AK54" s="2"/>
      <c r="AL54" s="2"/>
      <c r="AM54" s="2"/>
      <c r="AN54" s="2"/>
      <c r="AO54" s="2">
        <v>-40</v>
      </c>
      <c r="AP54" s="2">
        <v>-35</v>
      </c>
      <c r="AQ54" s="2">
        <v>-30</v>
      </c>
      <c r="AR54" s="26">
        <v>-25</v>
      </c>
    </row>
    <row r="55" spans="5:44" x14ac:dyDescent="0.2">
      <c r="E55" s="36" t="s">
        <v>67</v>
      </c>
      <c r="F55" s="2">
        <v>-38</v>
      </c>
      <c r="G55" s="2"/>
      <c r="H55" s="2"/>
      <c r="I55" s="2"/>
      <c r="J55" s="2"/>
      <c r="K55" s="2">
        <v>106</v>
      </c>
      <c r="L55" s="2"/>
      <c r="M55" s="2"/>
      <c r="N55" s="2"/>
      <c r="O55" s="2"/>
      <c r="P55" s="2">
        <v>87</v>
      </c>
      <c r="Q55" s="2"/>
      <c r="R55" s="2"/>
      <c r="S55" s="2"/>
      <c r="T55" s="2"/>
      <c r="U55" s="2">
        <v>143</v>
      </c>
      <c r="V55" s="2"/>
      <c r="W55" s="2"/>
      <c r="X55" s="2"/>
      <c r="Y55" s="2"/>
      <c r="Z55" s="2">
        <v>50</v>
      </c>
      <c r="AA55" s="2"/>
      <c r="AB55" s="2"/>
      <c r="AC55" s="2"/>
      <c r="AD55" s="2"/>
      <c r="AE55" s="2">
        <v>50</v>
      </c>
      <c r="AF55" s="2"/>
      <c r="AG55" s="2"/>
      <c r="AH55" s="2"/>
      <c r="AI55" s="2"/>
      <c r="AJ55" s="2">
        <v>50</v>
      </c>
      <c r="AK55" s="2"/>
      <c r="AL55" s="2"/>
      <c r="AM55" s="2"/>
      <c r="AN55" s="2"/>
      <c r="AO55" s="2">
        <v>50</v>
      </c>
      <c r="AP55" s="2">
        <v>50</v>
      </c>
      <c r="AQ55" s="2">
        <v>50</v>
      </c>
      <c r="AR55" s="26">
        <v>50</v>
      </c>
    </row>
    <row r="56" spans="5:44" x14ac:dyDescent="0.2">
      <c r="E56" s="35" t="s">
        <v>68</v>
      </c>
      <c r="F56" s="96">
        <f>SUM(F50,F51,F52,F54,F55)</f>
        <v>1166</v>
      </c>
      <c r="G56" s="96">
        <f t="shared" ref="G56:AR56" si="57">SUM(G50,G51,G52,G54,G55)</f>
        <v>0</v>
      </c>
      <c r="H56" s="96">
        <f t="shared" si="57"/>
        <v>0</v>
      </c>
      <c r="I56" s="96">
        <f t="shared" si="57"/>
        <v>0</v>
      </c>
      <c r="J56" s="96">
        <f t="shared" si="57"/>
        <v>0</v>
      </c>
      <c r="K56" s="96">
        <f t="shared" si="57"/>
        <v>494</v>
      </c>
      <c r="L56" s="96">
        <f t="shared" si="57"/>
        <v>0</v>
      </c>
      <c r="M56" s="96">
        <f t="shared" si="57"/>
        <v>0</v>
      </c>
      <c r="N56" s="96">
        <f t="shared" si="57"/>
        <v>0</v>
      </c>
      <c r="O56" s="96">
        <f t="shared" si="57"/>
        <v>0</v>
      </c>
      <c r="P56" s="96">
        <f t="shared" si="57"/>
        <v>345</v>
      </c>
      <c r="Q56" s="96">
        <f t="shared" si="57"/>
        <v>0</v>
      </c>
      <c r="R56" s="96">
        <f t="shared" si="57"/>
        <v>0</v>
      </c>
      <c r="S56" s="96">
        <f t="shared" si="57"/>
        <v>0</v>
      </c>
      <c r="T56" s="96">
        <f t="shared" si="57"/>
        <v>0</v>
      </c>
      <c r="U56" s="96">
        <f t="shared" si="57"/>
        <v>211</v>
      </c>
      <c r="V56" s="96">
        <f t="shared" si="57"/>
        <v>0</v>
      </c>
      <c r="W56" s="96">
        <f t="shared" si="57"/>
        <v>0</v>
      </c>
      <c r="X56" s="96">
        <f t="shared" si="57"/>
        <v>0</v>
      </c>
      <c r="Y56" s="96">
        <f t="shared" si="57"/>
        <v>0</v>
      </c>
      <c r="Z56" s="96">
        <f t="shared" si="57"/>
        <v>301.02388793091683</v>
      </c>
      <c r="AA56" s="96" t="e">
        <f t="shared" si="57"/>
        <v>#DIV/0!</v>
      </c>
      <c r="AB56" s="96" t="e">
        <f t="shared" si="57"/>
        <v>#DIV/0!</v>
      </c>
      <c r="AC56" s="96" t="e">
        <f t="shared" si="57"/>
        <v>#DIV/0!</v>
      </c>
      <c r="AD56" s="96" t="e">
        <f t="shared" si="57"/>
        <v>#DIV/0!</v>
      </c>
      <c r="AE56" s="96">
        <f t="shared" si="57"/>
        <v>333.90882566368214</v>
      </c>
      <c r="AF56" s="96" t="e">
        <f t="shared" si="57"/>
        <v>#DIV/0!</v>
      </c>
      <c r="AG56" s="96" t="e">
        <f t="shared" si="57"/>
        <v>#DIV/0!</v>
      </c>
      <c r="AH56" s="96" t="e">
        <f t="shared" si="57"/>
        <v>#DIV/0!</v>
      </c>
      <c r="AI56" s="96" t="e">
        <f t="shared" si="57"/>
        <v>#DIV/0!</v>
      </c>
      <c r="AJ56" s="96">
        <f t="shared" si="57"/>
        <v>423.25615859540795</v>
      </c>
      <c r="AK56" s="96" t="e">
        <f t="shared" si="57"/>
        <v>#DIV/0!</v>
      </c>
      <c r="AL56" s="96" t="e">
        <f t="shared" si="57"/>
        <v>#DIV/0!</v>
      </c>
      <c r="AM56" s="96" t="e">
        <f t="shared" si="57"/>
        <v>#DIV/0!</v>
      </c>
      <c r="AN56" s="96" t="e">
        <f t="shared" si="57"/>
        <v>#DIV/0!</v>
      </c>
      <c r="AO56" s="96">
        <f t="shared" si="57"/>
        <v>589.52249908599492</v>
      </c>
      <c r="AP56" s="96">
        <f t="shared" si="57"/>
        <v>613.0672206440338</v>
      </c>
      <c r="AQ56" s="96">
        <f t="shared" si="57"/>
        <v>636.36259157668178</v>
      </c>
      <c r="AR56" s="32">
        <f t="shared" si="57"/>
        <v>660.22255488887595</v>
      </c>
    </row>
    <row r="57" spans="5:44" x14ac:dyDescent="0.2">
      <c r="E57" s="36" t="s">
        <v>69</v>
      </c>
      <c r="F57" s="2">
        <v>175</v>
      </c>
      <c r="G57" s="2"/>
      <c r="H57" s="2"/>
      <c r="I57" s="2"/>
      <c r="J57" s="2"/>
      <c r="K57" s="2">
        <v>181</v>
      </c>
      <c r="L57" s="2"/>
      <c r="M57" s="2"/>
      <c r="N57" s="2"/>
      <c r="O57" s="2"/>
      <c r="P57" s="2">
        <v>291</v>
      </c>
      <c r="Q57" s="2"/>
      <c r="R57" s="2"/>
      <c r="S57" s="2"/>
      <c r="T57" s="2"/>
      <c r="U57" s="2">
        <v>349</v>
      </c>
      <c r="V57" s="2"/>
      <c r="W57" s="2"/>
      <c r="X57" s="2"/>
      <c r="Y57" s="2"/>
      <c r="Z57" s="2">
        <v>285</v>
      </c>
      <c r="AA57" s="2"/>
      <c r="AB57" s="2"/>
      <c r="AC57" s="2"/>
      <c r="AD57" s="2"/>
      <c r="AE57" s="2">
        <v>288</v>
      </c>
      <c r="AF57" s="2"/>
      <c r="AG57" s="2"/>
      <c r="AH57" s="2"/>
      <c r="AI57" s="2"/>
      <c r="AJ57" s="2">
        <v>287</v>
      </c>
      <c r="AK57" s="2"/>
      <c r="AL57" s="2"/>
      <c r="AM57" s="2"/>
      <c r="AN57" s="2"/>
      <c r="AO57" s="2">
        <v>290</v>
      </c>
      <c r="AP57" s="2">
        <v>290</v>
      </c>
      <c r="AQ57" s="2">
        <v>290</v>
      </c>
      <c r="AR57" s="26">
        <v>290</v>
      </c>
    </row>
    <row r="58" spans="5:44" x14ac:dyDescent="0.2">
      <c r="E58" s="35" t="s">
        <v>70</v>
      </c>
      <c r="F58" s="96">
        <f>F56-F57</f>
        <v>991</v>
      </c>
      <c r="G58" s="96">
        <f t="shared" ref="G58:AN58" si="58">G56-G57</f>
        <v>0</v>
      </c>
      <c r="H58" s="96">
        <f t="shared" si="58"/>
        <v>0</v>
      </c>
      <c r="I58" s="96">
        <f t="shared" si="58"/>
        <v>0</v>
      </c>
      <c r="J58" s="96">
        <f t="shared" si="58"/>
        <v>0</v>
      </c>
      <c r="K58" s="96">
        <f>K56-K57</f>
        <v>313</v>
      </c>
      <c r="L58" s="96">
        <f t="shared" si="58"/>
        <v>0</v>
      </c>
      <c r="M58" s="96">
        <f t="shared" si="58"/>
        <v>0</v>
      </c>
      <c r="N58" s="96">
        <f t="shared" si="58"/>
        <v>0</v>
      </c>
      <c r="O58" s="96">
        <f t="shared" si="58"/>
        <v>0</v>
      </c>
      <c r="P58" s="96">
        <f t="shared" si="58"/>
        <v>54</v>
      </c>
      <c r="Q58" s="96">
        <f t="shared" si="58"/>
        <v>0</v>
      </c>
      <c r="R58" s="96">
        <f t="shared" si="58"/>
        <v>0</v>
      </c>
      <c r="S58" s="96">
        <f t="shared" si="58"/>
        <v>0</v>
      </c>
      <c r="T58" s="96">
        <f t="shared" si="58"/>
        <v>0</v>
      </c>
      <c r="U58" s="96">
        <f t="shared" si="58"/>
        <v>-138</v>
      </c>
      <c r="V58" s="96">
        <f t="shared" si="58"/>
        <v>0</v>
      </c>
      <c r="W58" s="96">
        <f t="shared" si="58"/>
        <v>0</v>
      </c>
      <c r="X58" s="96">
        <f t="shared" si="58"/>
        <v>0</v>
      </c>
      <c r="Y58" s="96">
        <f t="shared" si="58"/>
        <v>0</v>
      </c>
      <c r="Z58" s="96">
        <f t="shared" si="58"/>
        <v>16.023887930916828</v>
      </c>
      <c r="AA58" s="96" t="e">
        <f t="shared" si="58"/>
        <v>#DIV/0!</v>
      </c>
      <c r="AB58" s="96" t="e">
        <f t="shared" si="58"/>
        <v>#DIV/0!</v>
      </c>
      <c r="AC58" s="96" t="e">
        <f t="shared" si="58"/>
        <v>#DIV/0!</v>
      </c>
      <c r="AD58" s="96" t="e">
        <f t="shared" si="58"/>
        <v>#DIV/0!</v>
      </c>
      <c r="AE58" s="96">
        <f t="shared" si="58"/>
        <v>45.908825663682137</v>
      </c>
      <c r="AF58" s="96" t="e">
        <f t="shared" si="58"/>
        <v>#DIV/0!</v>
      </c>
      <c r="AG58" s="96" t="e">
        <f t="shared" si="58"/>
        <v>#DIV/0!</v>
      </c>
      <c r="AH58" s="96" t="e">
        <f t="shared" si="58"/>
        <v>#DIV/0!</v>
      </c>
      <c r="AI58" s="96" t="e">
        <f t="shared" si="58"/>
        <v>#DIV/0!</v>
      </c>
      <c r="AJ58" s="96">
        <f t="shared" si="58"/>
        <v>136.25615859540795</v>
      </c>
      <c r="AK58" s="96" t="e">
        <f t="shared" si="58"/>
        <v>#DIV/0!</v>
      </c>
      <c r="AL58" s="96" t="e">
        <f t="shared" si="58"/>
        <v>#DIV/0!</v>
      </c>
      <c r="AM58" s="96" t="e">
        <f t="shared" si="58"/>
        <v>#DIV/0!</v>
      </c>
      <c r="AN58" s="96" t="e">
        <f t="shared" si="58"/>
        <v>#DIV/0!</v>
      </c>
      <c r="AO58" s="96">
        <f>AO56-AO57</f>
        <v>299.52249908599492</v>
      </c>
      <c r="AP58" s="96">
        <f t="shared" ref="AP58:AR58" si="59">AP56-AP57</f>
        <v>323.0672206440338</v>
      </c>
      <c r="AQ58" s="96">
        <f t="shared" si="59"/>
        <v>346.36259157668178</v>
      </c>
      <c r="AR58" s="32">
        <f t="shared" si="59"/>
        <v>370.22255488887595</v>
      </c>
    </row>
    <row r="59" spans="5:44" x14ac:dyDescent="0.2">
      <c r="E59" s="37" t="s">
        <v>71</v>
      </c>
      <c r="F59" s="17">
        <f>F58/F42</f>
        <v>1.2803617571059431</v>
      </c>
      <c r="G59" s="17" t="e">
        <f t="shared" ref="G59:AN59" si="60">G58/G42</f>
        <v>#DIV/0!</v>
      </c>
      <c r="H59" s="17" t="e">
        <f t="shared" si="60"/>
        <v>#DIV/0!</v>
      </c>
      <c r="I59" s="17" t="e">
        <f t="shared" si="60"/>
        <v>#DIV/0!</v>
      </c>
      <c r="J59" s="17" t="e">
        <f t="shared" si="60"/>
        <v>#DIV/0!</v>
      </c>
      <c r="K59" s="17">
        <f>K58/K42</f>
        <v>1.656084656084656</v>
      </c>
      <c r="L59" s="17" t="e">
        <f t="shared" si="60"/>
        <v>#DIV/0!</v>
      </c>
      <c r="M59" s="17" t="e">
        <f t="shared" si="60"/>
        <v>#DIV/0!</v>
      </c>
      <c r="N59" s="17" t="e">
        <f t="shared" si="60"/>
        <v>#DIV/0!</v>
      </c>
      <c r="O59" s="17" t="e">
        <f t="shared" si="60"/>
        <v>#DIV/0!</v>
      </c>
      <c r="P59" s="17">
        <f t="shared" si="60"/>
        <v>-0.26600985221674878</v>
      </c>
      <c r="Q59" s="17" t="e">
        <f t="shared" si="60"/>
        <v>#DIV/0!</v>
      </c>
      <c r="R59" s="17" t="e">
        <f t="shared" si="60"/>
        <v>#DIV/0!</v>
      </c>
      <c r="S59" s="17" t="e">
        <f t="shared" si="60"/>
        <v>#DIV/0!</v>
      </c>
      <c r="T59" s="17" t="e">
        <f t="shared" si="60"/>
        <v>#DIV/0!</v>
      </c>
      <c r="U59" s="17">
        <f t="shared" si="60"/>
        <v>0.32624113475177308</v>
      </c>
      <c r="V59" s="17" t="e">
        <f t="shared" si="60"/>
        <v>#DIV/0!</v>
      </c>
      <c r="W59" s="17" t="e">
        <f t="shared" si="60"/>
        <v>#DIV/0!</v>
      </c>
      <c r="X59" s="17" t="e">
        <f t="shared" si="60"/>
        <v>#DIV/0!</v>
      </c>
      <c r="Y59" s="17" t="e">
        <f t="shared" si="60"/>
        <v>#DIV/0!</v>
      </c>
      <c r="Z59" s="17">
        <f t="shared" si="60"/>
        <v>-7.2297876965305208E-2</v>
      </c>
      <c r="AA59" s="17" t="e">
        <f t="shared" si="60"/>
        <v>#DIV/0!</v>
      </c>
      <c r="AB59" s="17" t="e">
        <f t="shared" si="60"/>
        <v>#DIV/0!</v>
      </c>
      <c r="AC59" s="17" t="e">
        <f t="shared" si="60"/>
        <v>#DIV/0!</v>
      </c>
      <c r="AD59" s="17" t="e">
        <f t="shared" si="60"/>
        <v>#DIV/0!</v>
      </c>
      <c r="AE59" s="17">
        <f t="shared" si="60"/>
        <v>-0.23054662993618019</v>
      </c>
      <c r="AF59" s="17" t="e">
        <f t="shared" si="60"/>
        <v>#DIV/0!</v>
      </c>
      <c r="AG59" s="17" t="e">
        <f t="shared" si="60"/>
        <v>#DIV/0!</v>
      </c>
      <c r="AH59" s="17" t="e">
        <f t="shared" si="60"/>
        <v>#DIV/0!</v>
      </c>
      <c r="AI59" s="17" t="e">
        <f t="shared" si="60"/>
        <v>#DIV/0!</v>
      </c>
      <c r="AJ59" s="17">
        <f t="shared" si="60"/>
        <v>-1.0863056322410829</v>
      </c>
      <c r="AK59" s="17" t="e">
        <f t="shared" si="60"/>
        <v>#DIV/0!</v>
      </c>
      <c r="AL59" s="17" t="e">
        <f t="shared" si="60"/>
        <v>#DIV/0!</v>
      </c>
      <c r="AM59" s="17" t="e">
        <f t="shared" si="60"/>
        <v>#DIV/0!</v>
      </c>
      <c r="AN59" s="17" t="e">
        <f t="shared" si="60"/>
        <v>#DIV/0!</v>
      </c>
      <c r="AO59" s="17">
        <f>AO58/AO42</f>
        <v>11.266047089310618</v>
      </c>
      <c r="AP59" s="17">
        <f t="shared" ref="AP59:AR59" si="61">AP58/AP42</f>
        <v>8.6283023538931065</v>
      </c>
      <c r="AQ59" s="17">
        <f t="shared" si="61"/>
        <v>6.6714164880705447</v>
      </c>
      <c r="AR59" s="18">
        <f t="shared" si="61"/>
        <v>5.5390405884231608</v>
      </c>
    </row>
    <row r="60" spans="5:44" x14ac:dyDescent="0.2">
      <c r="E60" s="36" t="s">
        <v>72</v>
      </c>
      <c r="F60" s="2">
        <v>0</v>
      </c>
      <c r="G60" s="2"/>
      <c r="H60" s="2"/>
      <c r="I60" s="2"/>
      <c r="J60" s="2"/>
      <c r="K60" s="2">
        <v>0</v>
      </c>
      <c r="L60" s="2"/>
      <c r="M60" s="2"/>
      <c r="N60" s="2"/>
      <c r="O60" s="2"/>
      <c r="P60" s="2">
        <v>-12</v>
      </c>
      <c r="Q60" s="2"/>
      <c r="R60" s="2"/>
      <c r="S60" s="2"/>
      <c r="T60" s="2"/>
      <c r="U60" s="2">
        <v>-15</v>
      </c>
      <c r="V60" s="2"/>
      <c r="W60" s="2"/>
      <c r="X60" s="2"/>
      <c r="Y60" s="2"/>
      <c r="Z60" s="2">
        <v>0</v>
      </c>
      <c r="AA60" s="2"/>
      <c r="AB60" s="2"/>
      <c r="AC60" s="2"/>
      <c r="AD60" s="2"/>
      <c r="AE60" s="2">
        <v>0</v>
      </c>
      <c r="AF60" s="2"/>
      <c r="AG60" s="2"/>
      <c r="AH60" s="2"/>
      <c r="AI60" s="2"/>
      <c r="AJ60" s="2">
        <v>0</v>
      </c>
      <c r="AK60" s="2"/>
      <c r="AL60" s="2"/>
      <c r="AM60" s="2"/>
      <c r="AN60" s="2"/>
      <c r="AO60" s="2">
        <v>0</v>
      </c>
      <c r="AP60" s="2">
        <v>0</v>
      </c>
      <c r="AQ60" s="2">
        <v>0</v>
      </c>
      <c r="AR60" s="26">
        <v>0</v>
      </c>
    </row>
    <row r="61" spans="5:44" x14ac:dyDescent="0.2">
      <c r="E61" s="36" t="s">
        <v>73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6">
        <v>0</v>
      </c>
    </row>
    <row r="62" spans="5:44" x14ac:dyDescent="0.2">
      <c r="E62" s="36" t="s">
        <v>74</v>
      </c>
      <c r="F62" s="2">
        <v>-2377</v>
      </c>
      <c r="G62" s="2"/>
      <c r="H62" s="2"/>
      <c r="I62" s="2"/>
      <c r="J62" s="2"/>
      <c r="K62" s="2">
        <v>-37</v>
      </c>
      <c r="L62" s="2"/>
      <c r="M62" s="2"/>
      <c r="N62" s="2"/>
      <c r="O62" s="2"/>
      <c r="P62" s="2">
        <v>-11</v>
      </c>
      <c r="Q62" s="2"/>
      <c r="R62" s="2"/>
      <c r="S62" s="2"/>
      <c r="T62" s="2"/>
      <c r="U62" s="2">
        <v>-21</v>
      </c>
      <c r="V62" s="2"/>
      <c r="W62" s="2"/>
      <c r="X62" s="2"/>
      <c r="Y62" s="2"/>
      <c r="Z62" s="2">
        <v>-25</v>
      </c>
      <c r="AA62" s="2"/>
      <c r="AB62" s="2"/>
      <c r="AC62" s="2"/>
      <c r="AD62" s="2"/>
      <c r="AE62" s="2">
        <v>-10</v>
      </c>
      <c r="AF62" s="2"/>
      <c r="AG62" s="2"/>
      <c r="AH62" s="2"/>
      <c r="AI62" s="2"/>
      <c r="AJ62" s="2">
        <v>-15</v>
      </c>
      <c r="AK62" s="2"/>
      <c r="AL62" s="2"/>
      <c r="AM62" s="2"/>
      <c r="AN62" s="2"/>
      <c r="AO62" s="2">
        <v>-10</v>
      </c>
      <c r="AP62">
        <v>0</v>
      </c>
      <c r="AR62" s="106"/>
    </row>
    <row r="63" spans="5:44" x14ac:dyDescent="0.2">
      <c r="E63" s="36" t="s">
        <v>75</v>
      </c>
      <c r="F63" s="2">
        <v>-8</v>
      </c>
      <c r="G63" s="2"/>
      <c r="H63" s="2"/>
      <c r="I63" s="2"/>
      <c r="J63" s="2"/>
      <c r="K63" s="2">
        <v>-2</v>
      </c>
      <c r="L63" s="2"/>
      <c r="M63" s="2"/>
      <c r="N63" s="2"/>
      <c r="O63" s="2"/>
      <c r="P63" s="2">
        <v>-16</v>
      </c>
      <c r="Q63" s="2"/>
      <c r="R63" s="2"/>
      <c r="S63" s="2"/>
      <c r="T63" s="2"/>
      <c r="U63" s="2">
        <v>10</v>
      </c>
      <c r="V63" s="2"/>
      <c r="W63" s="2"/>
      <c r="X63" s="2"/>
      <c r="Y63" s="2"/>
      <c r="Z63" s="2">
        <v>0</v>
      </c>
      <c r="AA63" s="2"/>
      <c r="AB63" s="2"/>
      <c r="AC63" s="2"/>
      <c r="AD63" s="2"/>
      <c r="AE63" s="2">
        <v>0</v>
      </c>
      <c r="AF63" s="2"/>
      <c r="AG63" s="2"/>
      <c r="AH63" s="2"/>
      <c r="AI63" s="2"/>
      <c r="AJ63" s="2">
        <v>0</v>
      </c>
      <c r="AK63" s="2"/>
      <c r="AL63" s="2"/>
      <c r="AM63" s="2"/>
      <c r="AN63" s="2"/>
      <c r="AO63" s="2">
        <v>0</v>
      </c>
      <c r="AP63" s="2">
        <v>0</v>
      </c>
      <c r="AQ63" s="2">
        <v>0</v>
      </c>
      <c r="AR63" s="26">
        <v>0</v>
      </c>
    </row>
    <row r="64" spans="5:44" x14ac:dyDescent="0.2">
      <c r="E64" s="35" t="s">
        <v>76</v>
      </c>
      <c r="F64" s="96">
        <f>SUM(F58,F60:F63)</f>
        <v>-1394</v>
      </c>
      <c r="G64" s="96">
        <f t="shared" ref="G64:AN64" si="62">SUM(G58,G60:G63)</f>
        <v>0</v>
      </c>
      <c r="H64" s="96">
        <f t="shared" si="62"/>
        <v>0</v>
      </c>
      <c r="I64" s="96">
        <f t="shared" si="62"/>
        <v>0</v>
      </c>
      <c r="J64" s="96">
        <f t="shared" si="62"/>
        <v>0</v>
      </c>
      <c r="K64" s="96">
        <f t="shared" si="62"/>
        <v>274</v>
      </c>
      <c r="L64" s="96">
        <f t="shared" si="62"/>
        <v>0</v>
      </c>
      <c r="M64" s="96">
        <f t="shared" si="62"/>
        <v>0</v>
      </c>
      <c r="N64" s="96">
        <f t="shared" si="62"/>
        <v>0</v>
      </c>
      <c r="O64" s="96">
        <f t="shared" si="62"/>
        <v>0</v>
      </c>
      <c r="P64" s="96">
        <f t="shared" si="62"/>
        <v>15</v>
      </c>
      <c r="Q64" s="96">
        <f t="shared" si="62"/>
        <v>0</v>
      </c>
      <c r="R64" s="96">
        <f t="shared" si="62"/>
        <v>0</v>
      </c>
      <c r="S64" s="96">
        <f t="shared" si="62"/>
        <v>0</v>
      </c>
      <c r="T64" s="96">
        <f t="shared" si="62"/>
        <v>0</v>
      </c>
      <c r="U64" s="96">
        <f t="shared" si="62"/>
        <v>-164</v>
      </c>
      <c r="V64" s="96">
        <f t="shared" si="62"/>
        <v>0</v>
      </c>
      <c r="W64" s="96">
        <f t="shared" si="62"/>
        <v>0</v>
      </c>
      <c r="X64" s="96">
        <f t="shared" si="62"/>
        <v>0</v>
      </c>
      <c r="Y64" s="96">
        <f t="shared" si="62"/>
        <v>0</v>
      </c>
      <c r="Z64" s="96">
        <f t="shared" si="62"/>
        <v>-8.9761120690831717</v>
      </c>
      <c r="AA64" s="96" t="e">
        <f t="shared" si="62"/>
        <v>#DIV/0!</v>
      </c>
      <c r="AB64" s="96" t="e">
        <f t="shared" si="62"/>
        <v>#DIV/0!</v>
      </c>
      <c r="AC64" s="96" t="e">
        <f t="shared" si="62"/>
        <v>#DIV/0!</v>
      </c>
      <c r="AD64" s="96" t="e">
        <f t="shared" si="62"/>
        <v>#DIV/0!</v>
      </c>
      <c r="AE64" s="96">
        <f t="shared" si="62"/>
        <v>35.908825663682137</v>
      </c>
      <c r="AF64" s="96" t="e">
        <f t="shared" si="62"/>
        <v>#DIV/0!</v>
      </c>
      <c r="AG64" s="96" t="e">
        <f t="shared" si="62"/>
        <v>#DIV/0!</v>
      </c>
      <c r="AH64" s="96" t="e">
        <f t="shared" si="62"/>
        <v>#DIV/0!</v>
      </c>
      <c r="AI64" s="96" t="e">
        <f t="shared" si="62"/>
        <v>#DIV/0!</v>
      </c>
      <c r="AJ64" s="96">
        <f t="shared" si="62"/>
        <v>121.25615859540795</v>
      </c>
      <c r="AK64" s="96" t="e">
        <f t="shared" si="62"/>
        <v>#DIV/0!</v>
      </c>
      <c r="AL64" s="96" t="e">
        <f t="shared" si="62"/>
        <v>#DIV/0!</v>
      </c>
      <c r="AM64" s="96" t="e">
        <f t="shared" si="62"/>
        <v>#DIV/0!</v>
      </c>
      <c r="AN64" s="96" t="e">
        <f t="shared" si="62"/>
        <v>#DIV/0!</v>
      </c>
      <c r="AO64" s="96">
        <f>SUM(AO58,AO60:AO63)</f>
        <v>289.52249908599492</v>
      </c>
      <c r="AP64" s="96">
        <f t="shared" ref="AP64:AR64" si="63">SUM(AP58,AP60:AP63)</f>
        <v>323.0672206440338</v>
      </c>
      <c r="AQ64" s="96">
        <f t="shared" si="63"/>
        <v>346.36259157668178</v>
      </c>
      <c r="AR64" s="32">
        <f t="shared" si="63"/>
        <v>370.22255488887595</v>
      </c>
    </row>
    <row r="65" spans="5:44" x14ac:dyDescent="0.2">
      <c r="E65" s="36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R65" s="106"/>
    </row>
    <row r="66" spans="5:44" x14ac:dyDescent="0.2">
      <c r="E66" s="83" t="s">
        <v>77</v>
      </c>
      <c r="F66" s="100">
        <f>F58/F44</f>
        <v>2.8298115362649914</v>
      </c>
      <c r="G66" s="100" t="e">
        <f t="shared" ref="G66:AR66" si="64">G58/G44</f>
        <v>#DIV/0!</v>
      </c>
      <c r="H66" s="100" t="e">
        <f t="shared" si="64"/>
        <v>#DIV/0!</v>
      </c>
      <c r="I66" s="100" t="e">
        <f t="shared" si="64"/>
        <v>#DIV/0!</v>
      </c>
      <c r="J66" s="100" t="e">
        <f t="shared" si="64"/>
        <v>#DIV/0!</v>
      </c>
      <c r="K66" s="100">
        <f t="shared" si="64"/>
        <v>0.89300998573466472</v>
      </c>
      <c r="L66" s="100" t="e">
        <f t="shared" si="64"/>
        <v>#DIV/0!</v>
      </c>
      <c r="M66" s="100" t="e">
        <f t="shared" si="64"/>
        <v>#DIV/0!</v>
      </c>
      <c r="N66" s="100" t="e">
        <f t="shared" si="64"/>
        <v>#DIV/0!</v>
      </c>
      <c r="O66" s="100" t="e">
        <f t="shared" si="64"/>
        <v>#DIV/0!</v>
      </c>
      <c r="P66" s="100">
        <f>P58/P44</f>
        <v>0.1534963047185901</v>
      </c>
      <c r="Q66" s="100" t="e">
        <f t="shared" si="64"/>
        <v>#DIV/0!</v>
      </c>
      <c r="R66" s="100" t="e">
        <f t="shared" si="64"/>
        <v>#DIV/0!</v>
      </c>
      <c r="S66" s="100" t="e">
        <f t="shared" si="64"/>
        <v>#DIV/0!</v>
      </c>
      <c r="T66" s="100" t="e">
        <f t="shared" si="64"/>
        <v>#DIV/0!</v>
      </c>
      <c r="U66" s="100">
        <f>U58/U44</f>
        <v>-0.39005087620124362</v>
      </c>
      <c r="V66" s="100" t="e">
        <f t="shared" si="64"/>
        <v>#DIV/0!</v>
      </c>
      <c r="W66" s="100" t="e">
        <f t="shared" si="64"/>
        <v>#DIV/0!</v>
      </c>
      <c r="X66" s="100" t="e">
        <f t="shared" si="64"/>
        <v>#DIV/0!</v>
      </c>
      <c r="Y66" s="100" t="e">
        <f t="shared" si="64"/>
        <v>#DIV/0!</v>
      </c>
      <c r="Z66" s="100">
        <f t="shared" si="64"/>
        <v>4.5290808171048129E-2</v>
      </c>
      <c r="AA66" s="100" t="e">
        <f t="shared" si="64"/>
        <v>#DIV/0!</v>
      </c>
      <c r="AB66" s="100" t="e">
        <f t="shared" si="64"/>
        <v>#DIV/0!</v>
      </c>
      <c r="AC66" s="100" t="e">
        <f t="shared" si="64"/>
        <v>#DIV/0!</v>
      </c>
      <c r="AD66" s="100" t="e">
        <f t="shared" si="64"/>
        <v>#DIV/0!</v>
      </c>
      <c r="AE66" s="100">
        <f t="shared" si="64"/>
        <v>0.12975925851803882</v>
      </c>
      <c r="AF66" s="100" t="e">
        <f t="shared" si="64"/>
        <v>#DIV/0!</v>
      </c>
      <c r="AG66" s="100" t="e">
        <f t="shared" si="64"/>
        <v>#DIV/0!</v>
      </c>
      <c r="AH66" s="100" t="e">
        <f t="shared" si="64"/>
        <v>#DIV/0!</v>
      </c>
      <c r="AI66" s="100" t="e">
        <f t="shared" si="64"/>
        <v>#DIV/0!</v>
      </c>
      <c r="AJ66" s="100">
        <f t="shared" si="64"/>
        <v>0.38512198585474267</v>
      </c>
      <c r="AK66" s="100" t="e">
        <f t="shared" si="64"/>
        <v>#DIV/0!</v>
      </c>
      <c r="AL66" s="100" t="e">
        <f t="shared" si="64"/>
        <v>#DIV/0!</v>
      </c>
      <c r="AM66" s="100" t="e">
        <f t="shared" si="64"/>
        <v>#DIV/0!</v>
      </c>
      <c r="AN66" s="100" t="e">
        <f t="shared" si="64"/>
        <v>#DIV/0!</v>
      </c>
      <c r="AO66" s="100">
        <f t="shared" si="64"/>
        <v>0.84658705224984432</v>
      </c>
      <c r="AP66" s="100">
        <f t="shared" si="64"/>
        <v>0.91313516292830355</v>
      </c>
      <c r="AQ66" s="100">
        <f t="shared" si="64"/>
        <v>0.9789784951291175</v>
      </c>
      <c r="AR66" s="82">
        <f t="shared" si="64"/>
        <v>1.0464176226367323</v>
      </c>
    </row>
    <row r="67" spans="5:44" x14ac:dyDescent="0.2">
      <c r="E67" s="37" t="s">
        <v>78</v>
      </c>
      <c r="F67" s="17">
        <f t="shared" ref="F67:AR67" si="65">F66/F100</f>
        <v>0.16824087611563562</v>
      </c>
      <c r="G67" s="17" t="e">
        <f t="shared" si="65"/>
        <v>#DIV/0!</v>
      </c>
      <c r="H67" s="17" t="e">
        <f t="shared" si="65"/>
        <v>#DIV/0!</v>
      </c>
      <c r="I67" s="17" t="e">
        <f t="shared" si="65"/>
        <v>#DIV/0!</v>
      </c>
      <c r="J67" s="17" t="e">
        <f t="shared" si="65"/>
        <v>#DIV/0!</v>
      </c>
      <c r="K67" s="17">
        <f t="shared" si="65"/>
        <v>4.6510936757013788E-2</v>
      </c>
      <c r="L67" s="17" t="e">
        <f t="shared" si="65"/>
        <v>#DIV/0!</v>
      </c>
      <c r="M67" s="17" t="e">
        <f t="shared" si="65"/>
        <v>#DIV/0!</v>
      </c>
      <c r="N67" s="17" t="e">
        <f t="shared" si="65"/>
        <v>#DIV/0!</v>
      </c>
      <c r="O67" s="17" t="e">
        <f t="shared" si="65"/>
        <v>#DIV/0!</v>
      </c>
      <c r="P67" s="17">
        <f t="shared" si="65"/>
        <v>1.1991898806139852E-2</v>
      </c>
      <c r="Q67" s="17" t="e">
        <f t="shared" si="65"/>
        <v>#DIV/0!</v>
      </c>
      <c r="R67" s="17" t="e">
        <f t="shared" si="65"/>
        <v>#DIV/0!</v>
      </c>
      <c r="S67" s="17" t="e">
        <f t="shared" si="65"/>
        <v>#DIV/0!</v>
      </c>
      <c r="T67" s="17" t="e">
        <f t="shared" si="65"/>
        <v>#DIV/0!</v>
      </c>
      <c r="U67" s="17">
        <f t="shared" si="65"/>
        <v>-2.318970726523446E-2</v>
      </c>
      <c r="V67" s="17" t="e">
        <f t="shared" si="65"/>
        <v>#DIV/0!</v>
      </c>
      <c r="W67" s="17" t="e">
        <f t="shared" si="65"/>
        <v>#DIV/0!</v>
      </c>
      <c r="X67" s="17" t="e">
        <f t="shared" si="65"/>
        <v>#DIV/0!</v>
      </c>
      <c r="Y67" s="17" t="e">
        <f t="shared" si="65"/>
        <v>#DIV/0!</v>
      </c>
      <c r="Z67" s="17">
        <f t="shared" si="65"/>
        <v>2.7133445566209983E-3</v>
      </c>
      <c r="AA67" s="17" t="e">
        <f t="shared" si="65"/>
        <v>#DIV/0!</v>
      </c>
      <c r="AB67" s="17" t="e">
        <f t="shared" si="65"/>
        <v>#DIV/0!</v>
      </c>
      <c r="AC67" s="17" t="e">
        <f t="shared" si="65"/>
        <v>#DIV/0!</v>
      </c>
      <c r="AD67" s="17" t="e">
        <f t="shared" si="65"/>
        <v>#DIV/0!</v>
      </c>
      <c r="AE67" s="17">
        <f t="shared" si="65"/>
        <v>7.7737976421485798E-3</v>
      </c>
      <c r="AF67" s="17" t="e">
        <f t="shared" si="65"/>
        <v>#DIV/0!</v>
      </c>
      <c r="AG67" s="17" t="e">
        <f t="shared" si="65"/>
        <v>#DIV/0!</v>
      </c>
      <c r="AH67" s="17" t="e">
        <f t="shared" si="65"/>
        <v>#DIV/0!</v>
      </c>
      <c r="AI67" s="17" t="e">
        <f t="shared" si="65"/>
        <v>#DIV/0!</v>
      </c>
      <c r="AJ67" s="17">
        <f t="shared" si="65"/>
        <v>2.3072422112838893E-2</v>
      </c>
      <c r="AK67" s="17" t="e">
        <f t="shared" si="65"/>
        <v>#DIV/0!</v>
      </c>
      <c r="AL67" s="17" t="e">
        <f t="shared" si="65"/>
        <v>#DIV/0!</v>
      </c>
      <c r="AM67" s="17" t="e">
        <f t="shared" si="65"/>
        <v>#DIV/0!</v>
      </c>
      <c r="AN67" s="17" t="e">
        <f t="shared" si="65"/>
        <v>#DIV/0!</v>
      </c>
      <c r="AO67" s="17">
        <f t="shared" si="65"/>
        <v>5.0718511386518554E-2</v>
      </c>
      <c r="AP67" s="17">
        <f t="shared" si="65"/>
        <v>5.3713833113429622E-2</v>
      </c>
      <c r="AQ67" s="17">
        <f t="shared" si="65"/>
        <v>5.7586970301712795E-2</v>
      </c>
      <c r="AR67" s="18">
        <f t="shared" si="65"/>
        <v>6.1553977802160723E-2</v>
      </c>
    </row>
    <row r="68" spans="5:44" x14ac:dyDescent="0.2">
      <c r="E68" s="36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R68" s="106"/>
    </row>
    <row r="69" spans="5:44" x14ac:dyDescent="0.2">
      <c r="E69" s="133" t="s">
        <v>79</v>
      </c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  <c r="AA69" s="131"/>
      <c r="AB69" s="131"/>
      <c r="AC69" s="131"/>
      <c r="AD69" s="131"/>
      <c r="AE69" s="131"/>
      <c r="AF69" s="131"/>
      <c r="AG69" s="131"/>
      <c r="AH69" s="131"/>
      <c r="AI69" s="131"/>
      <c r="AJ69" s="131"/>
      <c r="AK69" s="131"/>
      <c r="AL69" s="131"/>
      <c r="AM69" s="131"/>
      <c r="AN69" s="131"/>
      <c r="AO69" s="131"/>
      <c r="AP69" s="131"/>
      <c r="AQ69" s="131"/>
      <c r="AR69" s="132"/>
    </row>
    <row r="70" spans="5:44" x14ac:dyDescent="0.2">
      <c r="E70" s="19" t="s">
        <v>114</v>
      </c>
      <c r="F70" s="2">
        <v>354</v>
      </c>
      <c r="G70" s="2"/>
      <c r="H70" s="2"/>
      <c r="I70" s="2"/>
      <c r="J70" s="2"/>
      <c r="K70" s="2">
        <v>331</v>
      </c>
      <c r="L70" s="2"/>
      <c r="M70" s="2"/>
      <c r="N70" s="2"/>
      <c r="O70" s="2"/>
      <c r="P70" s="2">
        <v>305</v>
      </c>
      <c r="Q70" s="2"/>
      <c r="R70" s="2"/>
      <c r="S70" s="2"/>
      <c r="T70" s="2"/>
      <c r="U70" s="2">
        <v>383</v>
      </c>
      <c r="V70" s="2"/>
      <c r="W70" s="2"/>
      <c r="X70" s="2"/>
      <c r="Y70" s="2"/>
      <c r="Z70" s="96">
        <f>U70+Z64</f>
        <v>374.02388793091683</v>
      </c>
      <c r="AA70" s="96" t="e">
        <f t="shared" ref="AA70:AN70" si="66">V70+AA64</f>
        <v>#DIV/0!</v>
      </c>
      <c r="AB70" s="96" t="e">
        <f t="shared" si="66"/>
        <v>#DIV/0!</v>
      </c>
      <c r="AC70" s="96" t="e">
        <f t="shared" si="66"/>
        <v>#DIV/0!</v>
      </c>
      <c r="AD70" s="96" t="e">
        <f t="shared" si="66"/>
        <v>#DIV/0!</v>
      </c>
      <c r="AE70" s="96">
        <f t="shared" si="66"/>
        <v>409.93271359459897</v>
      </c>
      <c r="AF70" s="96" t="e">
        <f t="shared" si="66"/>
        <v>#DIV/0!</v>
      </c>
      <c r="AG70" s="96" t="e">
        <f t="shared" si="66"/>
        <v>#DIV/0!</v>
      </c>
      <c r="AH70" s="96" t="e">
        <f t="shared" si="66"/>
        <v>#DIV/0!</v>
      </c>
      <c r="AI70" s="96" t="e">
        <f t="shared" si="66"/>
        <v>#DIV/0!</v>
      </c>
      <c r="AJ70" s="96">
        <f t="shared" si="66"/>
        <v>531.18887219000692</v>
      </c>
      <c r="AK70" s="96" t="e">
        <f t="shared" si="66"/>
        <v>#DIV/0!</v>
      </c>
      <c r="AL70" s="96" t="e">
        <f t="shared" si="66"/>
        <v>#DIV/0!</v>
      </c>
      <c r="AM70" s="96" t="e">
        <f t="shared" si="66"/>
        <v>#DIV/0!</v>
      </c>
      <c r="AN70" s="96" t="e">
        <f t="shared" si="66"/>
        <v>#DIV/0!</v>
      </c>
      <c r="AO70" s="96">
        <f>AJ70+AO64</f>
        <v>820.71137127600184</v>
      </c>
      <c r="AP70" s="96">
        <f>AO70+AP64</f>
        <v>1143.7785919200355</v>
      </c>
      <c r="AQ70" s="96">
        <f t="shared" ref="AQ70:AR70" si="67">AP70+AQ64</f>
        <v>1490.1411834967173</v>
      </c>
      <c r="AR70" s="32">
        <f t="shared" si="67"/>
        <v>1860.3637383855933</v>
      </c>
    </row>
    <row r="71" spans="5:44" x14ac:dyDescent="0.2">
      <c r="E71" s="19" t="s">
        <v>115</v>
      </c>
      <c r="F71" s="2">
        <v>26</v>
      </c>
      <c r="G71" s="2"/>
      <c r="H71" s="2"/>
      <c r="I71" s="2"/>
      <c r="J71" s="2"/>
      <c r="K71" s="2">
        <v>3</v>
      </c>
      <c r="L71" s="2"/>
      <c r="M71" s="2"/>
      <c r="N71" s="2"/>
      <c r="O71" s="2"/>
      <c r="P71" s="2">
        <v>11</v>
      </c>
      <c r="Q71" s="2"/>
      <c r="R71" s="2"/>
      <c r="S71" s="2"/>
      <c r="T71" s="2"/>
      <c r="U71" s="2">
        <v>14</v>
      </c>
      <c r="V71" s="2"/>
      <c r="W71" s="2"/>
      <c r="X71" s="2"/>
      <c r="Y71" s="2"/>
      <c r="Z71" s="2">
        <v>0</v>
      </c>
      <c r="AA71" s="2"/>
      <c r="AB71" s="2"/>
      <c r="AC71" s="2"/>
      <c r="AD71" s="2"/>
      <c r="AE71" s="2">
        <v>0</v>
      </c>
      <c r="AF71" s="2"/>
      <c r="AG71" s="2"/>
      <c r="AH71" s="2"/>
      <c r="AI71" s="2"/>
      <c r="AJ71" s="2">
        <v>0</v>
      </c>
      <c r="AK71" s="2"/>
      <c r="AL71" s="2"/>
      <c r="AM71" s="2"/>
      <c r="AN71" s="2"/>
      <c r="AO71" s="2">
        <v>0</v>
      </c>
      <c r="AP71" s="2">
        <v>0</v>
      </c>
      <c r="AQ71" s="2">
        <v>0</v>
      </c>
      <c r="AR71" s="26">
        <v>0</v>
      </c>
    </row>
    <row r="72" spans="5:44" x14ac:dyDescent="0.2">
      <c r="E72" s="19" t="s">
        <v>116</v>
      </c>
      <c r="F72" s="2">
        <v>724</v>
      </c>
      <c r="G72" s="2"/>
      <c r="H72" s="2"/>
      <c r="I72" s="2"/>
      <c r="J72" s="2"/>
      <c r="K72" s="2">
        <v>839</v>
      </c>
      <c r="L72" s="2"/>
      <c r="M72" s="2"/>
      <c r="N72" s="2"/>
      <c r="O72" s="2"/>
      <c r="P72" s="2">
        <v>1026</v>
      </c>
      <c r="Q72" s="2"/>
      <c r="R72" s="2"/>
      <c r="S72" s="2"/>
      <c r="T72" s="2"/>
      <c r="U72" s="2">
        <v>1221</v>
      </c>
      <c r="V72" s="2"/>
      <c r="W72" s="2"/>
      <c r="X72" s="2"/>
      <c r="Y72" s="2"/>
      <c r="Z72" s="2">
        <v>1250</v>
      </c>
      <c r="AA72" s="2"/>
      <c r="AB72" s="2"/>
      <c r="AC72" s="2"/>
      <c r="AD72" s="2"/>
      <c r="AE72" s="2">
        <v>1300</v>
      </c>
      <c r="AF72" s="2"/>
      <c r="AG72" s="2"/>
      <c r="AH72" s="2"/>
      <c r="AI72" s="2"/>
      <c r="AJ72" s="2">
        <v>1350</v>
      </c>
      <c r="AK72" s="2"/>
      <c r="AL72" s="2"/>
      <c r="AM72" s="2"/>
      <c r="AN72" s="2"/>
      <c r="AO72" s="2">
        <v>1400</v>
      </c>
      <c r="AP72" s="2">
        <v>1450</v>
      </c>
      <c r="AQ72" s="2">
        <v>1500</v>
      </c>
      <c r="AR72" s="26">
        <v>1550</v>
      </c>
    </row>
    <row r="73" spans="5:44" x14ac:dyDescent="0.2">
      <c r="E73" s="19" t="s">
        <v>117</v>
      </c>
      <c r="F73" s="2">
        <v>628</v>
      </c>
      <c r="G73" s="2"/>
      <c r="H73" s="2"/>
      <c r="I73" s="2"/>
      <c r="J73" s="2"/>
      <c r="K73" s="2">
        <v>1028</v>
      </c>
      <c r="L73" s="2"/>
      <c r="M73" s="2"/>
      <c r="N73" s="2"/>
      <c r="O73" s="2"/>
      <c r="P73" s="2">
        <v>1036</v>
      </c>
      <c r="Q73" s="2"/>
      <c r="R73" s="2"/>
      <c r="S73" s="2"/>
      <c r="T73" s="2"/>
      <c r="U73" s="2">
        <v>976</v>
      </c>
      <c r="V73" s="2"/>
      <c r="W73" s="2"/>
      <c r="X73" s="2"/>
      <c r="Y73" s="2"/>
      <c r="Z73" s="2">
        <v>1100</v>
      </c>
      <c r="AA73" s="2"/>
      <c r="AB73" s="2"/>
      <c r="AC73" s="2"/>
      <c r="AD73" s="2"/>
      <c r="AE73" s="2">
        <v>1150</v>
      </c>
      <c r="AF73" s="2"/>
      <c r="AG73" s="2"/>
      <c r="AH73" s="2"/>
      <c r="AI73" s="2"/>
      <c r="AJ73" s="2">
        <v>1200</v>
      </c>
      <c r="AK73" s="2"/>
      <c r="AL73" s="2"/>
      <c r="AM73" s="2"/>
      <c r="AN73" s="2"/>
      <c r="AO73" s="2">
        <v>1250</v>
      </c>
      <c r="AP73" s="2">
        <v>1300</v>
      </c>
      <c r="AQ73" s="2">
        <v>1350</v>
      </c>
      <c r="AR73" s="26">
        <f>1400</f>
        <v>1400</v>
      </c>
    </row>
    <row r="74" spans="5:44" x14ac:dyDescent="0.2">
      <c r="E74" s="19" t="s">
        <v>118</v>
      </c>
      <c r="F74" s="2">
        <v>405</v>
      </c>
      <c r="G74" s="2"/>
      <c r="H74" s="2"/>
      <c r="I74" s="2"/>
      <c r="J74" s="2"/>
      <c r="K74" s="2">
        <v>541</v>
      </c>
      <c r="L74" s="2"/>
      <c r="M74" s="2"/>
      <c r="N74" s="2"/>
      <c r="O74" s="2"/>
      <c r="P74" s="2">
        <v>410</v>
      </c>
      <c r="Q74" s="2"/>
      <c r="R74" s="2"/>
      <c r="S74" s="2"/>
      <c r="T74" s="2"/>
      <c r="U74" s="2">
        <v>383</v>
      </c>
      <c r="V74" s="2"/>
      <c r="W74" s="2"/>
      <c r="X74" s="2"/>
      <c r="Y74" s="2"/>
      <c r="Z74" s="97">
        <f>AVERAGE(F74:U74)</f>
        <v>434.75</v>
      </c>
      <c r="AA74" s="97">
        <f t="shared" ref="AA74:AN74" si="68">AVERAGE(G74:V74)</f>
        <v>444.66666666666669</v>
      </c>
      <c r="AB74" s="97">
        <f t="shared" si="68"/>
        <v>444.66666666666669</v>
      </c>
      <c r="AC74" s="97">
        <f t="shared" si="68"/>
        <v>444.66666666666669</v>
      </c>
      <c r="AD74" s="97">
        <f t="shared" si="68"/>
        <v>444.66666666666669</v>
      </c>
      <c r="AE74" s="97">
        <f t="shared" si="68"/>
        <v>442.1875</v>
      </c>
      <c r="AF74" s="97">
        <f t="shared" si="68"/>
        <v>418.10416666666669</v>
      </c>
      <c r="AG74" s="97">
        <f t="shared" si="68"/>
        <v>423.41666666666669</v>
      </c>
      <c r="AH74" s="97">
        <f t="shared" si="68"/>
        <v>426.95833333333331</v>
      </c>
      <c r="AI74" s="97">
        <f t="shared" si="68"/>
        <v>429.48809523809524</v>
      </c>
      <c r="AJ74" s="97">
        <f t="shared" si="68"/>
        <v>431.07552083333331</v>
      </c>
      <c r="AK74" s="97">
        <f t="shared" si="68"/>
        <v>432.08854166666663</v>
      </c>
      <c r="AL74" s="97">
        <f t="shared" si="68"/>
        <v>431.12499999999994</v>
      </c>
      <c r="AM74" s="97">
        <f t="shared" si="68"/>
        <v>430.70833333333331</v>
      </c>
      <c r="AN74" s="97">
        <f t="shared" si="68"/>
        <v>430.59740259740261</v>
      </c>
      <c r="AO74" s="97">
        <f>AVERAGE(U74:AJ74)</f>
        <v>430.63724578373012</v>
      </c>
      <c r="AP74" s="97">
        <f>AVERAGE(V74:AK74)</f>
        <v>434.72795758928572</v>
      </c>
      <c r="AQ74" s="97">
        <f t="shared" ref="AQ74:AR74" si="69">AVERAGE(W74:AL74)</f>
        <v>434.45080700549448</v>
      </c>
      <c r="AR74" s="33">
        <f t="shared" si="69"/>
        <v>434.18348745748295</v>
      </c>
    </row>
    <row r="75" spans="5:44" x14ac:dyDescent="0.2">
      <c r="E75" s="31" t="s">
        <v>80</v>
      </c>
      <c r="F75" s="97">
        <f>SUM(F70:F74)</f>
        <v>2137</v>
      </c>
      <c r="G75" s="97">
        <f t="shared" ref="G75:AN75" si="70">SUM(G70:G74)</f>
        <v>0</v>
      </c>
      <c r="H75" s="97">
        <f t="shared" si="70"/>
        <v>0</v>
      </c>
      <c r="I75" s="97">
        <f t="shared" si="70"/>
        <v>0</v>
      </c>
      <c r="J75" s="97">
        <f t="shared" si="70"/>
        <v>0</v>
      </c>
      <c r="K75" s="97">
        <f>SUM(K70:K74)</f>
        <v>2742</v>
      </c>
      <c r="L75" s="97">
        <f t="shared" si="70"/>
        <v>0</v>
      </c>
      <c r="M75" s="97">
        <f t="shared" si="70"/>
        <v>0</v>
      </c>
      <c r="N75" s="97">
        <f t="shared" si="70"/>
        <v>0</v>
      </c>
      <c r="O75" s="97">
        <f t="shared" si="70"/>
        <v>0</v>
      </c>
      <c r="P75" s="97">
        <f>SUM(P70:P74)</f>
        <v>2788</v>
      </c>
      <c r="Q75" s="97">
        <f t="shared" si="70"/>
        <v>0</v>
      </c>
      <c r="R75" s="97">
        <f t="shared" si="70"/>
        <v>0</v>
      </c>
      <c r="S75" s="97">
        <f t="shared" si="70"/>
        <v>0</v>
      </c>
      <c r="T75" s="97">
        <f t="shared" si="70"/>
        <v>0</v>
      </c>
      <c r="U75" s="97">
        <f>SUM(U70:U74)</f>
        <v>2977</v>
      </c>
      <c r="V75" s="97">
        <f t="shared" si="70"/>
        <v>0</v>
      </c>
      <c r="W75" s="97">
        <f t="shared" si="70"/>
        <v>0</v>
      </c>
      <c r="X75" s="97">
        <f t="shared" si="70"/>
        <v>0</v>
      </c>
      <c r="Y75" s="97">
        <f t="shared" si="70"/>
        <v>0</v>
      </c>
      <c r="Z75" s="97">
        <f>SUM(Z70:Z74)</f>
        <v>3158.7738879309168</v>
      </c>
      <c r="AA75" s="97" t="e">
        <f t="shared" si="70"/>
        <v>#DIV/0!</v>
      </c>
      <c r="AB75" s="97" t="e">
        <f t="shared" si="70"/>
        <v>#DIV/0!</v>
      </c>
      <c r="AC75" s="97" t="e">
        <f t="shared" si="70"/>
        <v>#DIV/0!</v>
      </c>
      <c r="AD75" s="97" t="e">
        <f t="shared" si="70"/>
        <v>#DIV/0!</v>
      </c>
      <c r="AE75" s="97">
        <f t="shared" si="70"/>
        <v>3302.1202135945987</v>
      </c>
      <c r="AF75" s="97" t="e">
        <f t="shared" si="70"/>
        <v>#DIV/0!</v>
      </c>
      <c r="AG75" s="97" t="e">
        <f t="shared" si="70"/>
        <v>#DIV/0!</v>
      </c>
      <c r="AH75" s="97" t="e">
        <f t="shared" si="70"/>
        <v>#DIV/0!</v>
      </c>
      <c r="AI75" s="97" t="e">
        <f t="shared" si="70"/>
        <v>#DIV/0!</v>
      </c>
      <c r="AJ75" s="97">
        <f t="shared" si="70"/>
        <v>3512.2643930233403</v>
      </c>
      <c r="AK75" s="97" t="e">
        <f t="shared" si="70"/>
        <v>#DIV/0!</v>
      </c>
      <c r="AL75" s="97" t="e">
        <f t="shared" si="70"/>
        <v>#DIV/0!</v>
      </c>
      <c r="AM75" s="97" t="e">
        <f t="shared" si="70"/>
        <v>#DIV/0!</v>
      </c>
      <c r="AN75" s="97" t="e">
        <f t="shared" si="70"/>
        <v>#DIV/0!</v>
      </c>
      <c r="AO75" s="97">
        <f>SUM(AO70:AO74)</f>
        <v>3901.3486170597321</v>
      </c>
      <c r="AP75" s="97">
        <f t="shared" ref="AP75:AQ75" si="71">SUM(AP70:AP74)</f>
        <v>4328.5065495093213</v>
      </c>
      <c r="AQ75" s="97">
        <f t="shared" si="71"/>
        <v>4774.591990502212</v>
      </c>
      <c r="AR75" s="33">
        <f>SUM(AR70:AR74)</f>
        <v>5244.5472258430764</v>
      </c>
    </row>
    <row r="76" spans="5:44" x14ac:dyDescent="0.2">
      <c r="E76" s="19" t="s">
        <v>119</v>
      </c>
      <c r="F76" s="2">
        <v>1300</v>
      </c>
      <c r="G76" s="2"/>
      <c r="H76" s="2"/>
      <c r="I76" s="2"/>
      <c r="J76" s="2"/>
      <c r="K76" s="2">
        <v>1390</v>
      </c>
      <c r="L76" s="2"/>
      <c r="M76" s="2"/>
      <c r="N76" s="2"/>
      <c r="O76" s="2"/>
      <c r="P76" s="2">
        <v>1485</v>
      </c>
      <c r="Q76" s="2"/>
      <c r="R76" s="2"/>
      <c r="S76" s="2"/>
      <c r="T76" s="2"/>
      <c r="U76" s="2">
        <v>1762</v>
      </c>
      <c r="V76" s="2"/>
      <c r="W76" s="2"/>
      <c r="X76" s="2"/>
      <c r="Y76" s="2"/>
      <c r="Z76" s="2">
        <f>U76-P76+U76</f>
        <v>2039</v>
      </c>
      <c r="AA76" s="2">
        <f t="shared" ref="AA76:AN76" si="72">V76-Q76+V76</f>
        <v>0</v>
      </c>
      <c r="AB76" s="2">
        <f t="shared" si="72"/>
        <v>0</v>
      </c>
      <c r="AC76" s="2">
        <f t="shared" si="72"/>
        <v>0</v>
      </c>
      <c r="AD76" s="2">
        <f t="shared" si="72"/>
        <v>0</v>
      </c>
      <c r="AE76" s="2">
        <f t="shared" si="72"/>
        <v>2316</v>
      </c>
      <c r="AF76" s="2">
        <f t="shared" si="72"/>
        <v>0</v>
      </c>
      <c r="AG76" s="2">
        <f t="shared" si="72"/>
        <v>0</v>
      </c>
      <c r="AH76" s="2">
        <f t="shared" si="72"/>
        <v>0</v>
      </c>
      <c r="AI76" s="2">
        <f t="shared" si="72"/>
        <v>0</v>
      </c>
      <c r="AJ76" s="2">
        <f t="shared" si="72"/>
        <v>2593</v>
      </c>
      <c r="AK76" s="2">
        <f t="shared" si="72"/>
        <v>0</v>
      </c>
      <c r="AL76" s="2">
        <f t="shared" si="72"/>
        <v>0</v>
      </c>
      <c r="AM76" s="2">
        <f t="shared" si="72"/>
        <v>0</v>
      </c>
      <c r="AN76" s="2">
        <f t="shared" si="72"/>
        <v>0</v>
      </c>
      <c r="AO76" s="2">
        <f>AJ76-AE76+AJ76</f>
        <v>2870</v>
      </c>
      <c r="AP76" s="2">
        <f>AO76+AJ76-AO76</f>
        <v>2593</v>
      </c>
      <c r="AQ76" s="2">
        <f>AP76-AO76+AP76</f>
        <v>2316</v>
      </c>
      <c r="AR76" s="26">
        <f>AQ76-AP76+AQ76</f>
        <v>2039</v>
      </c>
    </row>
    <row r="77" spans="5:44" x14ac:dyDescent="0.2">
      <c r="E77" s="19" t="s">
        <v>120</v>
      </c>
      <c r="F77" s="2">
        <v>2058</v>
      </c>
      <c r="G77" s="2"/>
      <c r="H77" s="2"/>
      <c r="I77" s="2"/>
      <c r="J77" s="2"/>
      <c r="K77" s="2">
        <v>3589</v>
      </c>
      <c r="L77" s="2"/>
      <c r="M77" s="2"/>
      <c r="N77" s="2"/>
      <c r="O77" s="2"/>
      <c r="P77" s="2">
        <v>3494</v>
      </c>
      <c r="Q77" s="2"/>
      <c r="R77" s="2"/>
      <c r="S77" s="2"/>
      <c r="T77" s="2"/>
      <c r="U77" s="2">
        <v>3281</v>
      </c>
      <c r="V77" s="2"/>
      <c r="W77" s="2"/>
      <c r="X77" s="2"/>
      <c r="Y77" s="2"/>
      <c r="Z77" s="2">
        <f>AVERAGE(F77:U77)</f>
        <v>3105.5</v>
      </c>
      <c r="AA77" s="2">
        <f t="shared" ref="AA77:AO77" si="73">AVERAGE(G77:V77)</f>
        <v>3454.6666666666665</v>
      </c>
      <c r="AB77" s="2">
        <f t="shared" si="73"/>
        <v>3454.6666666666665</v>
      </c>
      <c r="AC77" s="2">
        <f t="shared" si="73"/>
        <v>3454.6666666666665</v>
      </c>
      <c r="AD77" s="2">
        <f t="shared" si="73"/>
        <v>3454.6666666666665</v>
      </c>
      <c r="AE77" s="2">
        <f>AVERAGE(K77:Z77)</f>
        <v>3367.375</v>
      </c>
      <c r="AF77" s="2">
        <f t="shared" si="73"/>
        <v>3333.7916666666665</v>
      </c>
      <c r="AG77" s="2">
        <f t="shared" si="73"/>
        <v>3357.9666666666662</v>
      </c>
      <c r="AH77" s="2">
        <f t="shared" si="73"/>
        <v>3374.0833333333335</v>
      </c>
      <c r="AI77" s="2">
        <f t="shared" si="73"/>
        <v>3385.5952380952381</v>
      </c>
      <c r="AJ77" s="2">
        <f t="shared" si="73"/>
        <v>3383.3177083333335</v>
      </c>
      <c r="AK77" s="2">
        <f t="shared" si="73"/>
        <v>3363.291666666667</v>
      </c>
      <c r="AL77" s="2">
        <f t="shared" si="73"/>
        <v>3362.7000000000003</v>
      </c>
      <c r="AM77" s="2">
        <f t="shared" si="73"/>
        <v>3363.838333333334</v>
      </c>
      <c r="AN77" s="2">
        <f t="shared" si="73"/>
        <v>3365.8162337662343</v>
      </c>
      <c r="AO77" s="2">
        <f t="shared" si="73"/>
        <v>3367.2746899801591</v>
      </c>
      <c r="AP77" s="2">
        <f t="shared" ref="AP77" si="74">AVERAGE(V77:AK77)</f>
        <v>3374.1323288690473</v>
      </c>
      <c r="AQ77" s="2">
        <f t="shared" ref="AQ77" si="75">AVERAGE(W77:AL77)</f>
        <v>3373.2529189560437</v>
      </c>
      <c r="AR77" s="26">
        <f t="shared" ref="AR77" si="76">AVERAGE(X77:AM77)</f>
        <v>3372.5804485544213</v>
      </c>
    </row>
    <row r="78" spans="5:44" x14ac:dyDescent="0.2">
      <c r="E78" s="19" t="s">
        <v>121</v>
      </c>
      <c r="F78" s="2">
        <v>4507</v>
      </c>
      <c r="G78" s="2"/>
      <c r="H78" s="2"/>
      <c r="I78" s="2"/>
      <c r="J78" s="2"/>
      <c r="K78" s="2">
        <v>4575</v>
      </c>
      <c r="L78" s="2"/>
      <c r="M78" s="2"/>
      <c r="N78" s="2"/>
      <c r="O78" s="2"/>
      <c r="P78" s="2">
        <v>4523</v>
      </c>
      <c r="Q78" s="2"/>
      <c r="R78" s="2"/>
      <c r="S78" s="2"/>
      <c r="T78" s="2"/>
      <c r="U78" s="2">
        <v>4758</v>
      </c>
      <c r="V78" s="2"/>
      <c r="W78" s="2"/>
      <c r="X78" s="2"/>
      <c r="Y78" s="2"/>
      <c r="Z78" s="97">
        <f>AVERAGE(F78:U78)</f>
        <v>4590.75</v>
      </c>
      <c r="AA78" s="97">
        <f t="shared" ref="AA78:AD78" si="77">V78</f>
        <v>0</v>
      </c>
      <c r="AB78" s="97">
        <f t="shared" si="77"/>
        <v>0</v>
      </c>
      <c r="AC78" s="97">
        <f t="shared" si="77"/>
        <v>0</v>
      </c>
      <c r="AD78" s="97">
        <f t="shared" si="77"/>
        <v>0</v>
      </c>
      <c r="AE78" s="97">
        <f>Z78</f>
        <v>4590.75</v>
      </c>
      <c r="AF78" s="97">
        <f t="shared" ref="AF78:AN78" si="78">AA78</f>
        <v>0</v>
      </c>
      <c r="AG78" s="97">
        <f t="shared" si="78"/>
        <v>0</v>
      </c>
      <c r="AH78" s="97">
        <f t="shared" si="78"/>
        <v>0</v>
      </c>
      <c r="AI78" s="97">
        <f t="shared" si="78"/>
        <v>0</v>
      </c>
      <c r="AJ78" s="97">
        <f t="shared" si="78"/>
        <v>4590.75</v>
      </c>
      <c r="AK78" s="97">
        <f t="shared" si="78"/>
        <v>0</v>
      </c>
      <c r="AL78" s="97">
        <f t="shared" si="78"/>
        <v>0</v>
      </c>
      <c r="AM78" s="97">
        <f t="shared" si="78"/>
        <v>0</v>
      </c>
      <c r="AN78" s="97">
        <f t="shared" si="78"/>
        <v>0</v>
      </c>
      <c r="AO78" s="97">
        <f>AJ78</f>
        <v>4590.75</v>
      </c>
      <c r="AP78" s="97">
        <f>AO78</f>
        <v>4590.75</v>
      </c>
      <c r="AQ78" s="97">
        <f t="shared" ref="AQ78:AR78" si="79">AP78</f>
        <v>4590.75</v>
      </c>
      <c r="AR78" s="33">
        <f t="shared" si="79"/>
        <v>4590.75</v>
      </c>
    </row>
    <row r="79" spans="5:44" x14ac:dyDescent="0.2">
      <c r="E79" s="19" t="s">
        <v>122</v>
      </c>
      <c r="F79" s="2">
        <v>927</v>
      </c>
      <c r="G79" s="2"/>
      <c r="H79" s="2"/>
      <c r="I79" s="2"/>
      <c r="J79" s="2"/>
      <c r="K79" s="2">
        <v>921</v>
      </c>
      <c r="L79" s="2"/>
      <c r="M79" s="2"/>
      <c r="N79" s="2"/>
      <c r="O79" s="2"/>
      <c r="P79" s="2">
        <v>885</v>
      </c>
      <c r="Q79" s="2"/>
      <c r="R79" s="2"/>
      <c r="S79" s="2"/>
      <c r="T79" s="2"/>
      <c r="U79" s="2">
        <v>934</v>
      </c>
      <c r="V79" s="2"/>
      <c r="W79" s="2"/>
      <c r="X79" s="2"/>
      <c r="Y79" s="2"/>
      <c r="Z79" s="2">
        <v>900</v>
      </c>
      <c r="AA79" s="2"/>
      <c r="AB79" s="2"/>
      <c r="AC79" s="2"/>
      <c r="AD79" s="2"/>
      <c r="AE79" s="2">
        <v>870</v>
      </c>
      <c r="AF79" s="2"/>
      <c r="AG79" s="2"/>
      <c r="AH79" s="2"/>
      <c r="AI79" s="2"/>
      <c r="AJ79" s="2">
        <v>850</v>
      </c>
      <c r="AK79" s="2"/>
      <c r="AL79" s="2"/>
      <c r="AM79" s="2"/>
      <c r="AN79" s="2"/>
      <c r="AO79" s="2">
        <v>840</v>
      </c>
      <c r="AP79" s="2">
        <v>830</v>
      </c>
      <c r="AQ79" s="2">
        <v>820</v>
      </c>
      <c r="AR79" s="26">
        <v>810</v>
      </c>
    </row>
    <row r="80" spans="5:44" x14ac:dyDescent="0.2">
      <c r="E80" s="19" t="s">
        <v>123</v>
      </c>
      <c r="F80" s="2">
        <v>215</v>
      </c>
      <c r="G80" s="2"/>
      <c r="H80" s="2"/>
      <c r="I80" s="2"/>
      <c r="J80" s="2"/>
      <c r="K80" s="2">
        <v>225</v>
      </c>
      <c r="L80" s="2"/>
      <c r="M80" s="2"/>
      <c r="N80" s="2"/>
      <c r="O80" s="2"/>
      <c r="P80" s="2">
        <v>294</v>
      </c>
      <c r="Q80" s="2"/>
      <c r="R80" s="2"/>
      <c r="S80" s="2"/>
      <c r="T80" s="2"/>
      <c r="U80" s="2">
        <v>310</v>
      </c>
      <c r="V80" s="2"/>
      <c r="W80" s="2"/>
      <c r="X80" s="2"/>
      <c r="Y80" s="2"/>
      <c r="Z80" s="2">
        <v>290</v>
      </c>
      <c r="AA80" s="2"/>
      <c r="AB80" s="2"/>
      <c r="AC80" s="2"/>
      <c r="AD80" s="2"/>
      <c r="AE80" s="2">
        <v>280</v>
      </c>
      <c r="AF80" s="2"/>
      <c r="AG80" s="2"/>
      <c r="AH80" s="2"/>
      <c r="AI80" s="2"/>
      <c r="AJ80" s="2">
        <v>270</v>
      </c>
      <c r="AK80" s="2"/>
      <c r="AL80" s="2"/>
      <c r="AM80" s="2"/>
      <c r="AN80" s="2"/>
      <c r="AO80" s="2">
        <v>260</v>
      </c>
      <c r="AP80" s="2">
        <v>250</v>
      </c>
      <c r="AQ80" s="2">
        <v>240</v>
      </c>
      <c r="AR80" s="26">
        <v>230</v>
      </c>
    </row>
    <row r="81" spans="5:44" x14ac:dyDescent="0.2">
      <c r="E81" s="31" t="s">
        <v>81</v>
      </c>
      <c r="F81" s="14">
        <f>SUM(F75:J80)</f>
        <v>11144</v>
      </c>
      <c r="G81" s="14">
        <f t="shared" ref="G81:T81" si="80">SUM(G75:K80)</f>
        <v>13442</v>
      </c>
      <c r="H81" s="14">
        <f t="shared" si="80"/>
        <v>13442</v>
      </c>
      <c r="I81" s="14">
        <f t="shared" si="80"/>
        <v>13442</v>
      </c>
      <c r="J81" s="14">
        <f t="shared" si="80"/>
        <v>13442</v>
      </c>
      <c r="K81" s="14">
        <f>SUM(K75:O80)</f>
        <v>13442</v>
      </c>
      <c r="L81" s="14">
        <f t="shared" si="80"/>
        <v>13469</v>
      </c>
      <c r="M81" s="14">
        <f t="shared" si="80"/>
        <v>13469</v>
      </c>
      <c r="N81" s="14">
        <f t="shared" si="80"/>
        <v>13469</v>
      </c>
      <c r="O81" s="14">
        <f t="shared" si="80"/>
        <v>13469</v>
      </c>
      <c r="P81" s="14">
        <f>SUM(P75:T80)</f>
        <v>13469</v>
      </c>
      <c r="Q81" s="14">
        <f t="shared" si="80"/>
        <v>14022</v>
      </c>
      <c r="R81" s="14">
        <f t="shared" si="80"/>
        <v>14022</v>
      </c>
      <c r="S81" s="14">
        <f t="shared" si="80"/>
        <v>14022</v>
      </c>
      <c r="T81" s="14">
        <f t="shared" si="80"/>
        <v>14022</v>
      </c>
      <c r="U81" s="14">
        <f>SUM(U75:Y80)</f>
        <v>14022</v>
      </c>
      <c r="V81" s="14">
        <f t="shared" ref="V81:Y81" si="81">SUM(V75:Z80)</f>
        <v>14084.023887930916</v>
      </c>
      <c r="W81" s="14" t="e">
        <f t="shared" si="81"/>
        <v>#DIV/0!</v>
      </c>
      <c r="X81" s="14" t="e">
        <f t="shared" si="81"/>
        <v>#DIV/0!</v>
      </c>
      <c r="Y81" s="14" t="e">
        <f t="shared" si="81"/>
        <v>#DIV/0!</v>
      </c>
      <c r="Z81" s="14">
        <f>SUM(Z75:Z80)</f>
        <v>14084.023887930916</v>
      </c>
      <c r="AA81" s="14" t="e">
        <f t="shared" ref="AA81:AN81" si="82">SUM(AA75:AA80)</f>
        <v>#DIV/0!</v>
      </c>
      <c r="AB81" s="14" t="e">
        <f t="shared" si="82"/>
        <v>#DIV/0!</v>
      </c>
      <c r="AC81" s="14" t="e">
        <f t="shared" si="82"/>
        <v>#DIV/0!</v>
      </c>
      <c r="AD81" s="14" t="e">
        <f t="shared" si="82"/>
        <v>#DIV/0!</v>
      </c>
      <c r="AE81" s="14">
        <f t="shared" si="82"/>
        <v>14726.245213594599</v>
      </c>
      <c r="AF81" s="14" t="e">
        <f t="shared" si="82"/>
        <v>#DIV/0!</v>
      </c>
      <c r="AG81" s="14" t="e">
        <f t="shared" si="82"/>
        <v>#DIV/0!</v>
      </c>
      <c r="AH81" s="14" t="e">
        <f t="shared" si="82"/>
        <v>#DIV/0!</v>
      </c>
      <c r="AI81" s="14" t="e">
        <f t="shared" si="82"/>
        <v>#DIV/0!</v>
      </c>
      <c r="AJ81" s="14">
        <f t="shared" si="82"/>
        <v>15199.332101356675</v>
      </c>
      <c r="AK81" s="14" t="e">
        <f t="shared" si="82"/>
        <v>#DIV/0!</v>
      </c>
      <c r="AL81" s="14" t="e">
        <f t="shared" si="82"/>
        <v>#DIV/0!</v>
      </c>
      <c r="AM81" s="14" t="e">
        <f t="shared" si="82"/>
        <v>#DIV/0!</v>
      </c>
      <c r="AN81" s="14" t="e">
        <f t="shared" si="82"/>
        <v>#DIV/0!</v>
      </c>
      <c r="AO81" s="14">
        <f>SUM(AO75:AO80)</f>
        <v>15829.37330703989</v>
      </c>
      <c r="AP81" s="14">
        <f t="shared" ref="AP81:AQ81" si="83">SUM(AP75:AP80)</f>
        <v>15966.38887837837</v>
      </c>
      <c r="AQ81" s="14">
        <f t="shared" si="83"/>
        <v>16114.594909458256</v>
      </c>
      <c r="AR81" s="15">
        <f>SUM(AR75:AR80)</f>
        <v>16286.877674397498</v>
      </c>
    </row>
    <row r="82" spans="5:44" x14ac:dyDescent="0.2">
      <c r="E82" s="19" t="s">
        <v>124</v>
      </c>
      <c r="F82" s="2">
        <v>370</v>
      </c>
      <c r="G82" s="2"/>
      <c r="H82" s="2"/>
      <c r="I82" s="2"/>
      <c r="J82" s="2"/>
      <c r="K82" s="2">
        <v>522</v>
      </c>
      <c r="L82" s="2"/>
      <c r="M82" s="2"/>
      <c r="N82" s="2"/>
      <c r="O82" s="2"/>
      <c r="P82" s="2">
        <v>389</v>
      </c>
      <c r="Q82" s="2"/>
      <c r="R82" s="2"/>
      <c r="S82" s="2"/>
      <c r="T82" s="2"/>
      <c r="U82" s="2">
        <v>388</v>
      </c>
      <c r="V82" s="2"/>
      <c r="W82" s="2"/>
      <c r="X82" s="2"/>
      <c r="Y82" s="2"/>
      <c r="Z82" s="2">
        <v>400</v>
      </c>
      <c r="AA82" s="2"/>
      <c r="AB82" s="2"/>
      <c r="AC82" s="2"/>
      <c r="AD82" s="2"/>
      <c r="AE82" s="2">
        <v>420</v>
      </c>
      <c r="AF82" s="2"/>
      <c r="AG82" s="2"/>
      <c r="AH82" s="2"/>
      <c r="AI82" s="2"/>
      <c r="AJ82" s="2">
        <v>440</v>
      </c>
      <c r="AK82" s="2"/>
      <c r="AL82" s="2"/>
      <c r="AM82" s="2"/>
      <c r="AN82" s="2"/>
      <c r="AO82" s="2">
        <v>460</v>
      </c>
      <c r="AP82" s="2">
        <v>480</v>
      </c>
      <c r="AQ82" s="2">
        <v>500</v>
      </c>
      <c r="AR82" s="26">
        <v>520</v>
      </c>
    </row>
    <row r="83" spans="5:44" x14ac:dyDescent="0.2">
      <c r="E83" s="19" t="s">
        <v>125</v>
      </c>
      <c r="F83" s="2">
        <v>901</v>
      </c>
      <c r="G83" s="2"/>
      <c r="H83" s="2"/>
      <c r="I83" s="2"/>
      <c r="J83" s="2"/>
      <c r="K83" s="2">
        <v>1027</v>
      </c>
      <c r="L83" s="2"/>
      <c r="M83" s="2"/>
      <c r="N83" s="2"/>
      <c r="O83" s="2"/>
      <c r="P83" s="2">
        <v>1309</v>
      </c>
      <c r="Q83" s="2"/>
      <c r="R83" s="2"/>
      <c r="S83" s="2"/>
      <c r="T83" s="2"/>
      <c r="U83" s="2">
        <v>1493</v>
      </c>
      <c r="V83" s="2"/>
      <c r="W83" s="2"/>
      <c r="X83" s="2"/>
      <c r="Y83" s="2"/>
      <c r="Z83" s="2">
        <f>1490</f>
        <v>1490</v>
      </c>
      <c r="AA83" s="2">
        <f>1490</f>
        <v>1490</v>
      </c>
      <c r="AB83" s="2">
        <f>1490</f>
        <v>1490</v>
      </c>
      <c r="AC83" s="2">
        <f>1490</f>
        <v>1490</v>
      </c>
      <c r="AD83" s="2">
        <f>1490</f>
        <v>1490</v>
      </c>
      <c r="AE83" s="2">
        <f>1490</f>
        <v>1490</v>
      </c>
      <c r="AF83" s="2">
        <f>1490</f>
        <v>1490</v>
      </c>
      <c r="AG83" s="2">
        <f>1490</f>
        <v>1490</v>
      </c>
      <c r="AH83" s="2">
        <f>1490</f>
        <v>1490</v>
      </c>
      <c r="AI83" s="2">
        <f>1490</f>
        <v>1490</v>
      </c>
      <c r="AJ83" s="2">
        <f>1490</f>
        <v>1490</v>
      </c>
      <c r="AK83" s="2">
        <f>1490</f>
        <v>1490</v>
      </c>
      <c r="AL83" s="2">
        <f>1490</f>
        <v>1490</v>
      </c>
      <c r="AM83" s="2">
        <f>1490</f>
        <v>1490</v>
      </c>
      <c r="AN83" s="2">
        <f>1490</f>
        <v>1490</v>
      </c>
      <c r="AO83" s="2">
        <f>1490</f>
        <v>1490</v>
      </c>
      <c r="AP83" s="2">
        <f>1490</f>
        <v>1490</v>
      </c>
      <c r="AQ83" s="2">
        <f>1490</f>
        <v>1490</v>
      </c>
      <c r="AR83" s="26">
        <f>1490</f>
        <v>1490</v>
      </c>
    </row>
    <row r="84" spans="5:44" x14ac:dyDescent="0.2">
      <c r="E84" s="19" t="s">
        <v>126</v>
      </c>
      <c r="F84" s="2">
        <v>25</v>
      </c>
      <c r="G84" s="2"/>
      <c r="H84" s="2"/>
      <c r="I84" s="2"/>
      <c r="J84" s="2"/>
      <c r="K84" s="2">
        <v>30</v>
      </c>
      <c r="L84" s="2"/>
      <c r="M84" s="2"/>
      <c r="N84" s="2"/>
      <c r="O84" s="2"/>
      <c r="P84" s="2">
        <v>40</v>
      </c>
      <c r="Q84" s="2"/>
      <c r="R84" s="2"/>
      <c r="S84" s="2"/>
      <c r="T84" s="2"/>
      <c r="U84" s="2">
        <v>39</v>
      </c>
      <c r="V84" s="2"/>
      <c r="W84" s="2"/>
      <c r="X84" s="2"/>
      <c r="Y84" s="2"/>
      <c r="Z84" s="2">
        <v>40</v>
      </c>
      <c r="AA84" s="2"/>
      <c r="AB84" s="2"/>
      <c r="AC84" s="2"/>
      <c r="AD84" s="2"/>
      <c r="AE84" s="2">
        <v>40</v>
      </c>
      <c r="AF84" s="2"/>
      <c r="AG84" s="2"/>
      <c r="AH84" s="2"/>
      <c r="AI84" s="2"/>
      <c r="AJ84" s="2">
        <v>40</v>
      </c>
      <c r="AK84" s="2"/>
      <c r="AL84" s="2"/>
      <c r="AM84" s="2"/>
      <c r="AN84" s="2"/>
      <c r="AO84" s="2">
        <v>40</v>
      </c>
      <c r="AP84" s="2">
        <v>40</v>
      </c>
      <c r="AQ84" s="2">
        <v>40</v>
      </c>
      <c r="AR84" s="26">
        <v>40</v>
      </c>
    </row>
    <row r="85" spans="5:44" x14ac:dyDescent="0.2">
      <c r="E85" s="31" t="s">
        <v>82</v>
      </c>
      <c r="F85" s="2">
        <f>SUM(F82:F84)</f>
        <v>1296</v>
      </c>
      <c r="G85" s="2">
        <f t="shared" ref="G85:AN85" si="84">SUM(G82:G84)</f>
        <v>0</v>
      </c>
      <c r="H85" s="2">
        <f t="shared" si="84"/>
        <v>0</v>
      </c>
      <c r="I85" s="2">
        <f t="shared" si="84"/>
        <v>0</v>
      </c>
      <c r="J85" s="2">
        <f t="shared" si="84"/>
        <v>0</v>
      </c>
      <c r="K85" s="2">
        <f t="shared" si="84"/>
        <v>1579</v>
      </c>
      <c r="L85" s="2">
        <f t="shared" si="84"/>
        <v>0</v>
      </c>
      <c r="M85" s="2">
        <f t="shared" si="84"/>
        <v>0</v>
      </c>
      <c r="N85" s="2">
        <f t="shared" si="84"/>
        <v>0</v>
      </c>
      <c r="O85" s="2">
        <f t="shared" si="84"/>
        <v>0</v>
      </c>
      <c r="P85" s="2">
        <f t="shared" si="84"/>
        <v>1738</v>
      </c>
      <c r="Q85" s="2">
        <f t="shared" si="84"/>
        <v>0</v>
      </c>
      <c r="R85" s="2">
        <f t="shared" si="84"/>
        <v>0</v>
      </c>
      <c r="S85" s="2">
        <f t="shared" si="84"/>
        <v>0</v>
      </c>
      <c r="T85" s="2">
        <f t="shared" si="84"/>
        <v>0</v>
      </c>
      <c r="U85" s="2">
        <f t="shared" si="84"/>
        <v>1920</v>
      </c>
      <c r="V85" s="2">
        <f t="shared" si="84"/>
        <v>0</v>
      </c>
      <c r="W85" s="2">
        <f t="shared" si="84"/>
        <v>0</v>
      </c>
      <c r="X85" s="2">
        <f t="shared" si="84"/>
        <v>0</v>
      </c>
      <c r="Y85" s="2">
        <f t="shared" si="84"/>
        <v>0</v>
      </c>
      <c r="Z85" s="2">
        <f t="shared" si="84"/>
        <v>1930</v>
      </c>
      <c r="AA85" s="2">
        <f t="shared" si="84"/>
        <v>1490</v>
      </c>
      <c r="AB85" s="2">
        <f t="shared" si="84"/>
        <v>1490</v>
      </c>
      <c r="AC85" s="2">
        <f t="shared" si="84"/>
        <v>1490</v>
      </c>
      <c r="AD85" s="2">
        <f t="shared" si="84"/>
        <v>1490</v>
      </c>
      <c r="AE85" s="2">
        <f t="shared" si="84"/>
        <v>1950</v>
      </c>
      <c r="AF85" s="2">
        <f t="shared" si="84"/>
        <v>1490</v>
      </c>
      <c r="AG85" s="2">
        <f t="shared" si="84"/>
        <v>1490</v>
      </c>
      <c r="AH85" s="2">
        <f t="shared" si="84"/>
        <v>1490</v>
      </c>
      <c r="AI85" s="2">
        <f t="shared" si="84"/>
        <v>1490</v>
      </c>
      <c r="AJ85" s="2">
        <f t="shared" si="84"/>
        <v>1970</v>
      </c>
      <c r="AK85" s="2">
        <f t="shared" si="84"/>
        <v>1490</v>
      </c>
      <c r="AL85" s="2">
        <f t="shared" si="84"/>
        <v>1490</v>
      </c>
      <c r="AM85" s="2">
        <f t="shared" si="84"/>
        <v>1490</v>
      </c>
      <c r="AN85" s="2">
        <f t="shared" si="84"/>
        <v>1490</v>
      </c>
      <c r="AO85" s="2">
        <f>SUM(AO82:AO84)</f>
        <v>1990</v>
      </c>
      <c r="AP85" s="2">
        <f t="shared" ref="AP85:AR85" si="85">SUM(AP82:AP84)</f>
        <v>2010</v>
      </c>
      <c r="AQ85" s="2">
        <f t="shared" si="85"/>
        <v>2030</v>
      </c>
      <c r="AR85" s="26">
        <f t="shared" si="85"/>
        <v>2050</v>
      </c>
    </row>
    <row r="86" spans="5:44" x14ac:dyDescent="0.2">
      <c r="E86" s="19" t="s">
        <v>107</v>
      </c>
      <c r="F86" s="2">
        <f>7+329</f>
        <v>336</v>
      </c>
      <c r="G86" s="2"/>
      <c r="H86" s="2"/>
      <c r="I86" s="2"/>
      <c r="J86" s="2"/>
      <c r="K86" s="101">
        <f>14+397</f>
        <v>411</v>
      </c>
      <c r="L86" s="101"/>
      <c r="M86" s="101"/>
      <c r="N86" s="101"/>
      <c r="O86" s="101"/>
      <c r="P86" s="101">
        <f>13+430</f>
        <v>443</v>
      </c>
      <c r="Q86" s="101"/>
      <c r="R86" s="101"/>
      <c r="S86" s="101"/>
      <c r="T86" s="101"/>
      <c r="U86" s="101">
        <f>19+521</f>
        <v>540</v>
      </c>
      <c r="V86" s="101"/>
      <c r="W86" s="101"/>
      <c r="X86" s="101"/>
      <c r="Y86" s="101"/>
      <c r="Z86" s="101">
        <f>AVERAGE(F86:U86)</f>
        <v>432.5</v>
      </c>
      <c r="AA86" s="101">
        <f t="shared" ref="AA86:AN86" si="86">AVERAGE(G86:V86)</f>
        <v>464.66666666666669</v>
      </c>
      <c r="AB86" s="101">
        <f t="shared" si="86"/>
        <v>464.66666666666669</v>
      </c>
      <c r="AC86" s="101">
        <f t="shared" si="86"/>
        <v>464.66666666666669</v>
      </c>
      <c r="AD86" s="101">
        <f t="shared" si="86"/>
        <v>464.66666666666669</v>
      </c>
      <c r="AE86" s="101">
        <f t="shared" si="86"/>
        <v>456.625</v>
      </c>
      <c r="AF86" s="101">
        <f t="shared" si="86"/>
        <v>470.04166666666669</v>
      </c>
      <c r="AG86" s="101">
        <f t="shared" si="86"/>
        <v>468.9666666666667</v>
      </c>
      <c r="AH86" s="101">
        <f t="shared" si="86"/>
        <v>468.25</v>
      </c>
      <c r="AI86" s="101">
        <f t="shared" si="86"/>
        <v>467.73809523809524</v>
      </c>
      <c r="AJ86" s="101">
        <f t="shared" si="86"/>
        <v>466.34895833333331</v>
      </c>
      <c r="AK86" s="101">
        <f t="shared" si="86"/>
        <v>469.72916666666663</v>
      </c>
      <c r="AL86" s="101">
        <f t="shared" si="86"/>
        <v>469.64444444444439</v>
      </c>
      <c r="AM86" s="101">
        <f t="shared" si="86"/>
        <v>469.50499999999994</v>
      </c>
      <c r="AN86" s="101">
        <f t="shared" si="86"/>
        <v>469.34437229437225</v>
      </c>
      <c r="AO86" s="101">
        <f>AVERAGE(U86:AJ86)</f>
        <v>469.09475446428564</v>
      </c>
      <c r="AP86" s="101">
        <f t="shared" ref="AP86:AR86" si="87">AVERAGE(V86:AK86)</f>
        <v>463.23885168650799</v>
      </c>
      <c r="AQ86" s="101">
        <f t="shared" si="87"/>
        <v>463.73158959096457</v>
      </c>
      <c r="AR86" s="65">
        <f t="shared" si="87"/>
        <v>464.14397604875285</v>
      </c>
    </row>
    <row r="87" spans="5:44" x14ac:dyDescent="0.2">
      <c r="E87" s="19" t="s">
        <v>108</v>
      </c>
      <c r="F87" s="2">
        <v>2411</v>
      </c>
      <c r="G87" s="2"/>
      <c r="H87" s="2"/>
      <c r="I87" s="2"/>
      <c r="J87" s="2"/>
      <c r="K87" s="2">
        <v>4532</v>
      </c>
      <c r="L87" s="2"/>
      <c r="M87" s="2"/>
      <c r="N87" s="2"/>
      <c r="O87" s="2"/>
      <c r="P87" s="2">
        <v>4744</v>
      </c>
      <c r="Q87" s="2"/>
      <c r="R87" s="2"/>
      <c r="S87" s="2"/>
      <c r="T87" s="2"/>
      <c r="U87" s="2">
        <v>5043</v>
      </c>
      <c r="V87" s="2"/>
      <c r="W87" s="2"/>
      <c r="X87" s="2"/>
      <c r="Y87" s="2"/>
      <c r="Z87" s="96">
        <v>5202.4229999999998</v>
      </c>
      <c r="AA87" s="2"/>
      <c r="AB87" s="2"/>
      <c r="AC87" s="2"/>
      <c r="AD87" s="2"/>
      <c r="AE87" s="2">
        <v>5800.62</v>
      </c>
      <c r="AF87" s="2"/>
      <c r="AG87" s="2"/>
      <c r="AH87" s="2"/>
      <c r="AI87" s="2"/>
      <c r="AJ87" s="97">
        <v>6243.9830000000002</v>
      </c>
      <c r="AK87" s="2"/>
      <c r="AL87" s="2"/>
      <c r="AM87" s="2"/>
      <c r="AN87" s="2"/>
      <c r="AO87" s="97">
        <v>6851.27</v>
      </c>
      <c r="AP87" s="2">
        <v>6974</v>
      </c>
      <c r="AQ87" s="2">
        <v>7102</v>
      </c>
      <c r="AR87" s="26">
        <v>7200</v>
      </c>
    </row>
    <row r="88" spans="5:44" x14ac:dyDescent="0.2">
      <c r="E88" s="31" t="s">
        <v>83</v>
      </c>
      <c r="F88" s="14">
        <f>SUM(F85:F87)</f>
        <v>4043</v>
      </c>
      <c r="G88" s="14">
        <f t="shared" ref="G88:AQ88" si="88">SUM(G85:G87)</f>
        <v>0</v>
      </c>
      <c r="H88" s="14">
        <f t="shared" si="88"/>
        <v>0</v>
      </c>
      <c r="I88" s="14">
        <f t="shared" si="88"/>
        <v>0</v>
      </c>
      <c r="J88" s="14">
        <f t="shared" si="88"/>
        <v>0</v>
      </c>
      <c r="K88" s="14">
        <f t="shared" si="88"/>
        <v>6522</v>
      </c>
      <c r="L88" s="14">
        <f t="shared" si="88"/>
        <v>0</v>
      </c>
      <c r="M88" s="14">
        <f t="shared" si="88"/>
        <v>0</v>
      </c>
      <c r="N88" s="14">
        <f t="shared" si="88"/>
        <v>0</v>
      </c>
      <c r="O88" s="14">
        <f t="shared" si="88"/>
        <v>0</v>
      </c>
      <c r="P88" s="14">
        <f>SUM(P85:P87)</f>
        <v>6925</v>
      </c>
      <c r="Q88" s="14">
        <f t="shared" si="88"/>
        <v>0</v>
      </c>
      <c r="R88" s="14">
        <f t="shared" si="88"/>
        <v>0</v>
      </c>
      <c r="S88" s="14">
        <f t="shared" si="88"/>
        <v>0</v>
      </c>
      <c r="T88" s="14">
        <f t="shared" si="88"/>
        <v>0</v>
      </c>
      <c r="U88" s="14">
        <f t="shared" si="88"/>
        <v>7503</v>
      </c>
      <c r="V88" s="2">
        <f t="shared" si="88"/>
        <v>0</v>
      </c>
      <c r="W88" s="2">
        <f t="shared" si="88"/>
        <v>0</v>
      </c>
      <c r="X88" s="2">
        <f t="shared" si="88"/>
        <v>0</v>
      </c>
      <c r="Y88" s="2">
        <f t="shared" si="88"/>
        <v>0</v>
      </c>
      <c r="Z88" s="97">
        <f t="shared" si="88"/>
        <v>7564.9229999999998</v>
      </c>
      <c r="AA88" s="97">
        <f t="shared" si="88"/>
        <v>1954.6666666666667</v>
      </c>
      <c r="AB88" s="97">
        <f t="shared" si="88"/>
        <v>1954.6666666666667</v>
      </c>
      <c r="AC88" s="97">
        <f t="shared" si="88"/>
        <v>1954.6666666666667</v>
      </c>
      <c r="AD88" s="97">
        <f t="shared" si="88"/>
        <v>1954.6666666666667</v>
      </c>
      <c r="AE88" s="97">
        <f t="shared" si="88"/>
        <v>8207.244999999999</v>
      </c>
      <c r="AF88" s="97">
        <f t="shared" si="88"/>
        <v>1960.0416666666667</v>
      </c>
      <c r="AG88" s="97">
        <f t="shared" si="88"/>
        <v>1958.9666666666667</v>
      </c>
      <c r="AH88" s="97">
        <f t="shared" si="88"/>
        <v>1958.25</v>
      </c>
      <c r="AI88" s="97">
        <f t="shared" si="88"/>
        <v>1957.7380952380952</v>
      </c>
      <c r="AJ88" s="97">
        <f t="shared" si="88"/>
        <v>8680.3319583333341</v>
      </c>
      <c r="AK88" s="97">
        <f t="shared" si="88"/>
        <v>1959.7291666666665</v>
      </c>
      <c r="AL88" s="97">
        <f t="shared" si="88"/>
        <v>1959.6444444444444</v>
      </c>
      <c r="AM88" s="97">
        <f t="shared" si="88"/>
        <v>1959.5049999999999</v>
      </c>
      <c r="AN88" s="97">
        <f t="shared" si="88"/>
        <v>1959.3443722943723</v>
      </c>
      <c r="AO88" s="97">
        <f>SUM(AO85:AO87)</f>
        <v>9310.3647544642863</v>
      </c>
      <c r="AP88" s="97">
        <f>SUM(AP85:AP87)</f>
        <v>9447.2388516865085</v>
      </c>
      <c r="AQ88" s="97">
        <f t="shared" si="88"/>
        <v>9595.7315895909651</v>
      </c>
      <c r="AR88" s="33">
        <v>9768</v>
      </c>
    </row>
    <row r="89" spans="5:44" x14ac:dyDescent="0.2">
      <c r="E89" s="31" t="s">
        <v>84</v>
      </c>
      <c r="F89" s="2">
        <v>7101</v>
      </c>
      <c r="G89" s="2" t="e">
        <f>SUM(#REF!)</f>
        <v>#REF!</v>
      </c>
      <c r="H89" s="2" t="e">
        <f>SUM(#REF!)</f>
        <v>#REF!</v>
      </c>
      <c r="I89" s="2" t="e">
        <f>SUM(#REF!)</f>
        <v>#REF!</v>
      </c>
      <c r="J89" s="2" t="e">
        <f>SUM(#REF!)</f>
        <v>#REF!</v>
      </c>
      <c r="K89" s="2">
        <v>6920</v>
      </c>
      <c r="L89" s="2" t="e">
        <f>SUM(#REF!)</f>
        <v>#REF!</v>
      </c>
      <c r="M89" s="2" t="e">
        <f>SUM(#REF!)</f>
        <v>#REF!</v>
      </c>
      <c r="N89" s="2" t="e">
        <f>SUM(#REF!)</f>
        <v>#REF!</v>
      </c>
      <c r="O89" s="2" t="e">
        <f>SUM(#REF!)</f>
        <v>#REF!</v>
      </c>
      <c r="P89" s="2">
        <v>6544</v>
      </c>
      <c r="Q89" s="2" t="e">
        <f>SUM(#REF!)</f>
        <v>#REF!</v>
      </c>
      <c r="R89" s="2" t="e">
        <f>SUM(#REF!)</f>
        <v>#REF!</v>
      </c>
      <c r="S89" s="2" t="e">
        <f>SUM(#REF!)</f>
        <v>#REF!</v>
      </c>
      <c r="T89" s="2" t="e">
        <f>SUM(#REF!)</f>
        <v>#REF!</v>
      </c>
      <c r="U89" s="2">
        <v>6519</v>
      </c>
      <c r="V89" s="2" t="e">
        <f>SUM(#REF!)</f>
        <v>#REF!</v>
      </c>
      <c r="W89" s="2" t="e">
        <f>SUM(#REF!)</f>
        <v>#REF!</v>
      </c>
      <c r="X89" s="2" t="e">
        <f>SUM(#REF!)</f>
        <v>#REF!</v>
      </c>
      <c r="Y89" s="2" t="e">
        <f>SUM(#REF!)</f>
        <v>#REF!</v>
      </c>
      <c r="Z89" s="2">
        <f>U89</f>
        <v>6519</v>
      </c>
      <c r="AA89" s="2" t="e">
        <f t="shared" ref="AA89:AO89" si="89">V89</f>
        <v>#REF!</v>
      </c>
      <c r="AB89" s="2" t="e">
        <f t="shared" si="89"/>
        <v>#REF!</v>
      </c>
      <c r="AC89" s="2" t="e">
        <f t="shared" si="89"/>
        <v>#REF!</v>
      </c>
      <c r="AD89" s="2" t="e">
        <f t="shared" si="89"/>
        <v>#REF!</v>
      </c>
      <c r="AE89" s="2">
        <f t="shared" si="89"/>
        <v>6519</v>
      </c>
      <c r="AF89" s="2" t="e">
        <f t="shared" si="89"/>
        <v>#REF!</v>
      </c>
      <c r="AG89" s="2" t="e">
        <f t="shared" si="89"/>
        <v>#REF!</v>
      </c>
      <c r="AH89" s="2" t="e">
        <f t="shared" si="89"/>
        <v>#REF!</v>
      </c>
      <c r="AI89" s="2" t="e">
        <f t="shared" si="89"/>
        <v>#REF!</v>
      </c>
      <c r="AJ89" s="2">
        <f t="shared" si="89"/>
        <v>6519</v>
      </c>
      <c r="AK89" s="2" t="e">
        <f t="shared" si="89"/>
        <v>#REF!</v>
      </c>
      <c r="AL89" s="2" t="e">
        <f t="shared" si="89"/>
        <v>#REF!</v>
      </c>
      <c r="AM89" s="2" t="e">
        <f t="shared" si="89"/>
        <v>#REF!</v>
      </c>
      <c r="AN89" s="2" t="e">
        <f t="shared" si="89"/>
        <v>#REF!</v>
      </c>
      <c r="AO89" s="2">
        <f t="shared" si="89"/>
        <v>6519</v>
      </c>
      <c r="AP89" s="2">
        <f>AO89</f>
        <v>6519</v>
      </c>
      <c r="AQ89" s="2">
        <f t="shared" ref="AQ89" si="90">AP89</f>
        <v>6519</v>
      </c>
      <c r="AR89" s="26">
        <f>AQ89</f>
        <v>6519</v>
      </c>
    </row>
    <row r="90" spans="5:44" x14ac:dyDescent="0.2">
      <c r="E90" s="19" t="s">
        <v>127</v>
      </c>
      <c r="F90" s="96">
        <f t="shared" ref="F90:U90" si="91">F81-F88-F89</f>
        <v>0</v>
      </c>
      <c r="G90" s="2" t="e">
        <f t="shared" si="91"/>
        <v>#REF!</v>
      </c>
      <c r="H90" s="2" t="e">
        <f t="shared" si="91"/>
        <v>#REF!</v>
      </c>
      <c r="I90" s="2" t="e">
        <f t="shared" si="91"/>
        <v>#REF!</v>
      </c>
      <c r="J90" s="2" t="e">
        <f t="shared" si="91"/>
        <v>#REF!</v>
      </c>
      <c r="K90" s="96">
        <f t="shared" si="91"/>
        <v>0</v>
      </c>
      <c r="L90" s="2" t="e">
        <f t="shared" si="91"/>
        <v>#REF!</v>
      </c>
      <c r="M90" s="2" t="e">
        <f t="shared" si="91"/>
        <v>#REF!</v>
      </c>
      <c r="N90" s="2" t="e">
        <f t="shared" si="91"/>
        <v>#REF!</v>
      </c>
      <c r="O90" s="2" t="e">
        <f t="shared" si="91"/>
        <v>#REF!</v>
      </c>
      <c r="P90" s="96">
        <f t="shared" si="91"/>
        <v>0</v>
      </c>
      <c r="Q90" s="2" t="e">
        <f t="shared" si="91"/>
        <v>#REF!</v>
      </c>
      <c r="R90" s="2" t="e">
        <f t="shared" si="91"/>
        <v>#REF!</v>
      </c>
      <c r="S90" s="2" t="e">
        <f t="shared" si="91"/>
        <v>#REF!</v>
      </c>
      <c r="T90" s="2" t="e">
        <f t="shared" si="91"/>
        <v>#REF!</v>
      </c>
      <c r="U90" s="96">
        <f t="shared" si="91"/>
        <v>0</v>
      </c>
      <c r="V90" s="96" t="e">
        <f t="shared" ref="V90:AR90" si="92">V81-V88-V89</f>
        <v>#REF!</v>
      </c>
      <c r="W90" s="96" t="e">
        <f t="shared" si="92"/>
        <v>#DIV/0!</v>
      </c>
      <c r="X90" s="96" t="e">
        <f t="shared" si="92"/>
        <v>#DIV/0!</v>
      </c>
      <c r="Y90" s="96" t="e">
        <f t="shared" si="92"/>
        <v>#DIV/0!</v>
      </c>
      <c r="Z90" s="96">
        <f t="shared" si="92"/>
        <v>0.10088793091654225</v>
      </c>
      <c r="AA90" s="96" t="e">
        <f t="shared" si="92"/>
        <v>#DIV/0!</v>
      </c>
      <c r="AB90" s="96" t="e">
        <f t="shared" si="92"/>
        <v>#DIV/0!</v>
      </c>
      <c r="AC90" s="96" t="e">
        <f t="shared" si="92"/>
        <v>#DIV/0!</v>
      </c>
      <c r="AD90" s="96" t="e">
        <f t="shared" si="92"/>
        <v>#DIV/0!</v>
      </c>
      <c r="AE90" s="96">
        <f t="shared" si="92"/>
        <v>2.1359459969971795E-4</v>
      </c>
      <c r="AF90" s="96" t="e">
        <f t="shared" si="92"/>
        <v>#DIV/0!</v>
      </c>
      <c r="AG90" s="96" t="e">
        <f t="shared" si="92"/>
        <v>#DIV/0!</v>
      </c>
      <c r="AH90" s="96" t="e">
        <f t="shared" si="92"/>
        <v>#DIV/0!</v>
      </c>
      <c r="AI90" s="96" t="e">
        <f t="shared" si="92"/>
        <v>#DIV/0!</v>
      </c>
      <c r="AJ90" s="96">
        <f t="shared" si="92"/>
        <v>1.4302334056992549E-4</v>
      </c>
      <c r="AK90" s="96" t="e">
        <f t="shared" si="92"/>
        <v>#DIV/0!</v>
      </c>
      <c r="AL90" s="96" t="e">
        <f t="shared" si="92"/>
        <v>#DIV/0!</v>
      </c>
      <c r="AM90" s="96" t="e">
        <f t="shared" si="92"/>
        <v>#DIV/0!</v>
      </c>
      <c r="AN90" s="96" t="e">
        <f t="shared" si="92"/>
        <v>#DIV/0!</v>
      </c>
      <c r="AO90" s="96">
        <f t="shared" si="92"/>
        <v>8.5525756039714906E-3</v>
      </c>
      <c r="AP90" s="96">
        <f t="shared" si="92"/>
        <v>0.15002669186105777</v>
      </c>
      <c r="AQ90" s="96">
        <f t="shared" si="92"/>
        <v>-0.13668013270944357</v>
      </c>
      <c r="AR90" s="32">
        <f t="shared" si="92"/>
        <v>-0.12232560250231472</v>
      </c>
    </row>
    <row r="91" spans="5:44" x14ac:dyDescent="0.2">
      <c r="E91" s="133" t="s">
        <v>85</v>
      </c>
      <c r="F91" s="131"/>
      <c r="G91" s="131"/>
      <c r="H91" s="131"/>
      <c r="I91" s="131"/>
      <c r="J91" s="131"/>
      <c r="K91" s="131"/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1"/>
      <c r="W91" s="131"/>
      <c r="X91" s="131"/>
      <c r="Y91" s="131"/>
      <c r="Z91" s="131"/>
      <c r="AA91" s="131"/>
      <c r="AB91" s="131"/>
      <c r="AC91" s="131"/>
      <c r="AD91" s="131"/>
      <c r="AE91" s="131"/>
      <c r="AF91" s="131"/>
      <c r="AG91" s="131"/>
      <c r="AH91" s="131"/>
      <c r="AI91" s="131"/>
      <c r="AJ91" s="131"/>
      <c r="AK91" s="131"/>
      <c r="AL91" s="131"/>
      <c r="AM91" s="131"/>
      <c r="AN91" s="131"/>
      <c r="AO91" s="131"/>
      <c r="AP91" s="131"/>
      <c r="AQ91" s="131"/>
      <c r="AR91" s="132"/>
    </row>
    <row r="92" spans="5:44" x14ac:dyDescent="0.2">
      <c r="E92" s="38" t="s">
        <v>86</v>
      </c>
      <c r="F92" s="98">
        <f t="shared" ref="F92:AR92" si="93">F100/F46</f>
        <v>7.6102894056847541</v>
      </c>
      <c r="G92" s="98" t="e">
        <f t="shared" si="93"/>
        <v>#DIV/0!</v>
      </c>
      <c r="H92" s="98" t="e">
        <f t="shared" si="93"/>
        <v>#DIV/0!</v>
      </c>
      <c r="I92" s="98" t="e">
        <f t="shared" si="93"/>
        <v>#DIV/0!</v>
      </c>
      <c r="J92" s="98" t="e">
        <f t="shared" si="93"/>
        <v>#DIV/0!</v>
      </c>
      <c r="K92" s="98">
        <f t="shared" si="93"/>
        <v>35.606349206349208</v>
      </c>
      <c r="L92" s="98" t="e">
        <f t="shared" si="93"/>
        <v>#DIV/0!</v>
      </c>
      <c r="M92" s="98" t="e">
        <f t="shared" si="93"/>
        <v>#DIV/0!</v>
      </c>
      <c r="N92" s="98" t="e">
        <f t="shared" si="93"/>
        <v>#DIV/0!</v>
      </c>
      <c r="O92" s="98" t="e">
        <f t="shared" si="93"/>
        <v>#DIV/0!</v>
      </c>
      <c r="P92" s="98">
        <f t="shared" si="93"/>
        <v>-22.182463054187192</v>
      </c>
      <c r="Q92" s="98" t="e">
        <f t="shared" si="93"/>
        <v>#DIV/0!</v>
      </c>
      <c r="R92" s="98" t="e">
        <f t="shared" si="93"/>
        <v>#DIV/0!</v>
      </c>
      <c r="S92" s="98" t="e">
        <f t="shared" si="93"/>
        <v>#DIV/0!</v>
      </c>
      <c r="T92" s="98" t="e">
        <f t="shared" si="93"/>
        <v>#DIV/0!</v>
      </c>
      <c r="U92" s="98">
        <f t="shared" si="93"/>
        <v>-14.068359338061466</v>
      </c>
      <c r="V92" s="98" t="e">
        <f t="shared" si="93"/>
        <v>#DIV/0!</v>
      </c>
      <c r="W92" s="98" t="e">
        <f t="shared" si="93"/>
        <v>#DIV/0!</v>
      </c>
      <c r="X92" s="98" t="e">
        <f t="shared" si="93"/>
        <v>#DIV/0!</v>
      </c>
      <c r="Y92" s="98" t="e">
        <f t="shared" si="93"/>
        <v>#DIV/0!</v>
      </c>
      <c r="Z92" s="98">
        <f t="shared" si="93"/>
        <v>-26.645298986775092</v>
      </c>
      <c r="AA92" s="98" t="e">
        <f t="shared" si="93"/>
        <v>#DIV/0!</v>
      </c>
      <c r="AB92" s="98" t="e">
        <f t="shared" si="93"/>
        <v>#DIV/0!</v>
      </c>
      <c r="AC92" s="98" t="e">
        <f t="shared" si="93"/>
        <v>#DIV/0!</v>
      </c>
      <c r="AD92" s="98" t="e">
        <f t="shared" si="93"/>
        <v>#DIV/0!</v>
      </c>
      <c r="AE92" s="98">
        <f t="shared" si="93"/>
        <v>-29.656885932582625</v>
      </c>
      <c r="AF92" s="98" t="e">
        <f t="shared" si="93"/>
        <v>#DIV/0!</v>
      </c>
      <c r="AG92" s="98" t="e">
        <f t="shared" si="93"/>
        <v>#DIV/0!</v>
      </c>
      <c r="AH92" s="98" t="e">
        <f t="shared" si="93"/>
        <v>#DIV/0!</v>
      </c>
      <c r="AI92" s="98" t="e">
        <f t="shared" si="93"/>
        <v>#DIV/0!</v>
      </c>
      <c r="AJ92" s="98">
        <f t="shared" si="93"/>
        <v>-47.082427104027225</v>
      </c>
      <c r="AK92" s="98" t="e">
        <f t="shared" si="93"/>
        <v>#DIV/0!</v>
      </c>
      <c r="AL92" s="98" t="e">
        <f t="shared" si="93"/>
        <v>#DIV/0!</v>
      </c>
      <c r="AM92" s="98" t="e">
        <f t="shared" si="93"/>
        <v>#DIV/0!</v>
      </c>
      <c r="AN92" s="98" t="e">
        <f t="shared" si="93"/>
        <v>#DIV/0!</v>
      </c>
      <c r="AO92" s="98">
        <f t="shared" si="93"/>
        <v>222.12889892318955</v>
      </c>
      <c r="AP92" s="98">
        <f t="shared" si="93"/>
        <v>160.63464202363627</v>
      </c>
      <c r="AQ92" s="98">
        <f t="shared" si="93"/>
        <v>115.84940921735065</v>
      </c>
      <c r="AR92" s="41">
        <f t="shared" si="93"/>
        <v>89.986720374531558</v>
      </c>
    </row>
    <row r="93" spans="5:44" x14ac:dyDescent="0.2">
      <c r="E93" s="38" t="s">
        <v>149</v>
      </c>
      <c r="F93" s="101">
        <f t="shared" ref="F93:AR93" si="94">F103/F30</f>
        <v>5.8731441241685145</v>
      </c>
      <c r="G93" s="101" t="e">
        <f t="shared" si="94"/>
        <v>#DIV/0!</v>
      </c>
      <c r="H93" s="101" t="e">
        <f t="shared" si="94"/>
        <v>#DIV/0!</v>
      </c>
      <c r="I93" s="101" t="e">
        <f t="shared" si="94"/>
        <v>#DIV/0!</v>
      </c>
      <c r="J93" s="101" t="e">
        <f t="shared" si="94"/>
        <v>#DIV/0!</v>
      </c>
      <c r="K93" s="101">
        <f t="shared" si="94"/>
        <v>11.192645556690499</v>
      </c>
      <c r="L93" s="101" t="e">
        <f t="shared" si="94"/>
        <v>#DIV/0!</v>
      </c>
      <c r="M93" s="101" t="e">
        <f t="shared" si="94"/>
        <v>#DIV/0!</v>
      </c>
      <c r="N93" s="101" t="e">
        <f t="shared" si="94"/>
        <v>#DIV/0!</v>
      </c>
      <c r="O93" s="101" t="e">
        <f t="shared" si="94"/>
        <v>#DIV/0!</v>
      </c>
      <c r="P93" s="101">
        <f t="shared" si="94"/>
        <v>12.459777777777779</v>
      </c>
      <c r="Q93" s="101" t="e">
        <f t="shared" si="94"/>
        <v>#DIV/0!</v>
      </c>
      <c r="R93" s="101" t="e">
        <f t="shared" si="94"/>
        <v>#DIV/0!</v>
      </c>
      <c r="S93" s="101" t="e">
        <f t="shared" si="94"/>
        <v>#DIV/0!</v>
      </c>
      <c r="T93" s="101" t="e">
        <f t="shared" si="94"/>
        <v>#DIV/0!</v>
      </c>
      <c r="U93" s="101">
        <f t="shared" si="94"/>
        <v>22.112091476091479</v>
      </c>
      <c r="V93" s="101" t="e">
        <f t="shared" si="94"/>
        <v>#DIV/0!</v>
      </c>
      <c r="W93" s="101" t="e">
        <f t="shared" si="94"/>
        <v>#DIV/0!</v>
      </c>
      <c r="X93" s="101" t="e">
        <f t="shared" si="94"/>
        <v>#DIV/0!</v>
      </c>
      <c r="Y93" s="101" t="e">
        <f t="shared" si="94"/>
        <v>#DIV/0!</v>
      </c>
      <c r="Z93" s="101">
        <f t="shared" si="94"/>
        <v>21.065415427896617</v>
      </c>
      <c r="AA93" s="101" t="e">
        <f t="shared" si="94"/>
        <v>#DIV/0!</v>
      </c>
      <c r="AB93" s="101" t="e">
        <f t="shared" si="94"/>
        <v>#DIV/0!</v>
      </c>
      <c r="AC93" s="101" t="e">
        <f t="shared" si="94"/>
        <v>#DIV/0!</v>
      </c>
      <c r="AD93" s="101" t="e">
        <f t="shared" si="94"/>
        <v>#DIV/0!</v>
      </c>
      <c r="AE93" s="101">
        <f t="shared" si="94"/>
        <v>23.202153405762672</v>
      </c>
      <c r="AF93" s="101" t="e">
        <f t="shared" si="94"/>
        <v>#DIV/0!</v>
      </c>
      <c r="AG93" s="101" t="e">
        <f t="shared" si="94"/>
        <v>#DIV/0!</v>
      </c>
      <c r="AH93" s="101" t="e">
        <f t="shared" si="94"/>
        <v>#DIV/0!</v>
      </c>
      <c r="AI93" s="101" t="e">
        <f t="shared" si="94"/>
        <v>#DIV/0!</v>
      </c>
      <c r="AJ93" s="101">
        <f t="shared" si="94"/>
        <v>23.237216627973375</v>
      </c>
      <c r="AK93" s="101" t="e">
        <f t="shared" si="94"/>
        <v>#DIV/0!</v>
      </c>
      <c r="AL93" s="101" t="e">
        <f t="shared" si="94"/>
        <v>#DIV/0!</v>
      </c>
      <c r="AM93" s="101" t="e">
        <f t="shared" si="94"/>
        <v>#DIV/0!</v>
      </c>
      <c r="AN93" s="101" t="e">
        <f t="shared" si="94"/>
        <v>#DIV/0!</v>
      </c>
      <c r="AO93" s="101">
        <f t="shared" si="94"/>
        <v>22.383179834111044</v>
      </c>
      <c r="AP93" s="101">
        <f t="shared" si="94"/>
        <v>21.506963331339637</v>
      </c>
      <c r="AQ93" s="101">
        <f t="shared" si="94"/>
        <v>20.442483407436608</v>
      </c>
      <c r="AR93" s="65">
        <f t="shared" si="94"/>
        <v>19.333615755087024</v>
      </c>
    </row>
    <row r="94" spans="5:44" x14ac:dyDescent="0.2">
      <c r="E94" s="39" t="s">
        <v>88</v>
      </c>
      <c r="F94" s="17">
        <f t="shared" ref="F94:AR94" si="95">F67</f>
        <v>0.16824087611563562</v>
      </c>
      <c r="G94" s="17" t="e">
        <f t="shared" si="95"/>
        <v>#DIV/0!</v>
      </c>
      <c r="H94" s="17" t="e">
        <f t="shared" si="95"/>
        <v>#DIV/0!</v>
      </c>
      <c r="I94" s="17" t="e">
        <f t="shared" si="95"/>
        <v>#DIV/0!</v>
      </c>
      <c r="J94" s="17" t="e">
        <f t="shared" si="95"/>
        <v>#DIV/0!</v>
      </c>
      <c r="K94" s="17">
        <f t="shared" si="95"/>
        <v>4.6510936757013788E-2</v>
      </c>
      <c r="L94" s="17" t="e">
        <f t="shared" si="95"/>
        <v>#DIV/0!</v>
      </c>
      <c r="M94" s="17" t="e">
        <f t="shared" si="95"/>
        <v>#DIV/0!</v>
      </c>
      <c r="N94" s="17" t="e">
        <f t="shared" si="95"/>
        <v>#DIV/0!</v>
      </c>
      <c r="O94" s="17" t="e">
        <f t="shared" si="95"/>
        <v>#DIV/0!</v>
      </c>
      <c r="P94" s="17">
        <f t="shared" si="95"/>
        <v>1.1991898806139852E-2</v>
      </c>
      <c r="Q94" s="17" t="e">
        <f t="shared" si="95"/>
        <v>#DIV/0!</v>
      </c>
      <c r="R94" s="17" t="e">
        <f t="shared" si="95"/>
        <v>#DIV/0!</v>
      </c>
      <c r="S94" s="17" t="e">
        <f t="shared" si="95"/>
        <v>#DIV/0!</v>
      </c>
      <c r="T94" s="17" t="e">
        <f t="shared" si="95"/>
        <v>#DIV/0!</v>
      </c>
      <c r="U94" s="17">
        <f t="shared" si="95"/>
        <v>-2.318970726523446E-2</v>
      </c>
      <c r="V94" s="17" t="e">
        <f t="shared" si="95"/>
        <v>#DIV/0!</v>
      </c>
      <c r="W94" s="17" t="e">
        <f t="shared" si="95"/>
        <v>#DIV/0!</v>
      </c>
      <c r="X94" s="17" t="e">
        <f t="shared" si="95"/>
        <v>#DIV/0!</v>
      </c>
      <c r="Y94" s="17" t="e">
        <f t="shared" si="95"/>
        <v>#DIV/0!</v>
      </c>
      <c r="Z94" s="17">
        <f t="shared" si="95"/>
        <v>2.7133445566209983E-3</v>
      </c>
      <c r="AA94" s="17" t="e">
        <f t="shared" si="95"/>
        <v>#DIV/0!</v>
      </c>
      <c r="AB94" s="17" t="e">
        <f t="shared" si="95"/>
        <v>#DIV/0!</v>
      </c>
      <c r="AC94" s="17" t="e">
        <f t="shared" si="95"/>
        <v>#DIV/0!</v>
      </c>
      <c r="AD94" s="17" t="e">
        <f t="shared" si="95"/>
        <v>#DIV/0!</v>
      </c>
      <c r="AE94" s="17">
        <f t="shared" si="95"/>
        <v>7.7737976421485798E-3</v>
      </c>
      <c r="AF94" s="17" t="e">
        <f t="shared" si="95"/>
        <v>#DIV/0!</v>
      </c>
      <c r="AG94" s="17" t="e">
        <f t="shared" si="95"/>
        <v>#DIV/0!</v>
      </c>
      <c r="AH94" s="17" t="e">
        <f t="shared" si="95"/>
        <v>#DIV/0!</v>
      </c>
      <c r="AI94" s="17" t="e">
        <f t="shared" si="95"/>
        <v>#DIV/0!</v>
      </c>
      <c r="AJ94" s="17">
        <f t="shared" si="95"/>
        <v>2.3072422112838893E-2</v>
      </c>
      <c r="AK94" s="17" t="e">
        <f t="shared" si="95"/>
        <v>#DIV/0!</v>
      </c>
      <c r="AL94" s="17" t="e">
        <f t="shared" si="95"/>
        <v>#DIV/0!</v>
      </c>
      <c r="AM94" s="17" t="e">
        <f t="shared" si="95"/>
        <v>#DIV/0!</v>
      </c>
      <c r="AN94" s="17" t="e">
        <f t="shared" si="95"/>
        <v>#DIV/0!</v>
      </c>
      <c r="AO94" s="17">
        <f t="shared" si="95"/>
        <v>5.0718511386518554E-2</v>
      </c>
      <c r="AP94" s="17">
        <f t="shared" si="95"/>
        <v>5.3713833113429622E-2</v>
      </c>
      <c r="AQ94" s="17">
        <f t="shared" si="95"/>
        <v>5.7586970301712795E-2</v>
      </c>
      <c r="AR94" s="18">
        <f t="shared" si="95"/>
        <v>6.1553977802160723E-2</v>
      </c>
    </row>
    <row r="95" spans="5:44" x14ac:dyDescent="0.2">
      <c r="E95" s="38" t="s">
        <v>89</v>
      </c>
      <c r="F95" s="96">
        <f t="shared" ref="F95:AR95" si="96">F102/F30</f>
        <v>1.5195861049519586</v>
      </c>
      <c r="G95" s="96" t="e">
        <f t="shared" si="96"/>
        <v>#DIV/0!</v>
      </c>
      <c r="H95" s="96" t="e">
        <f t="shared" si="96"/>
        <v>#DIV/0!</v>
      </c>
      <c r="I95" s="96" t="e">
        <f t="shared" si="96"/>
        <v>#DIV/0!</v>
      </c>
      <c r="J95" s="96" t="e">
        <f t="shared" si="96"/>
        <v>#DIV/0!</v>
      </c>
      <c r="K95" s="96">
        <f t="shared" si="96"/>
        <v>4.3186925434116441</v>
      </c>
      <c r="L95" s="96" t="e">
        <f t="shared" si="96"/>
        <v>#DIV/0!</v>
      </c>
      <c r="M95" s="96" t="e">
        <f t="shared" si="96"/>
        <v>#DIV/0!</v>
      </c>
      <c r="N95" s="96" t="e">
        <f t="shared" si="96"/>
        <v>#DIV/0!</v>
      </c>
      <c r="O95" s="96" t="e">
        <f t="shared" si="96"/>
        <v>#DIV/0!</v>
      </c>
      <c r="P95" s="96">
        <f t="shared" si="96"/>
        <v>6.2055555555555557</v>
      </c>
      <c r="Q95" s="96" t="e">
        <f t="shared" si="96"/>
        <v>#DIV/0!</v>
      </c>
      <c r="R95" s="96" t="e">
        <f t="shared" si="96"/>
        <v>#DIV/0!</v>
      </c>
      <c r="S95" s="96" t="e">
        <f t="shared" si="96"/>
        <v>#DIV/0!</v>
      </c>
      <c r="T95" s="96" t="e">
        <f t="shared" si="96"/>
        <v>#DIV/0!</v>
      </c>
      <c r="U95" s="96">
        <f t="shared" si="96"/>
        <v>9.7401247401247399</v>
      </c>
      <c r="V95" s="96" t="e">
        <f t="shared" si="96"/>
        <v>#DIV/0!</v>
      </c>
      <c r="W95" s="96" t="e">
        <f t="shared" si="96"/>
        <v>#DIV/0!</v>
      </c>
      <c r="X95" s="96" t="e">
        <f t="shared" si="96"/>
        <v>#DIV/0!</v>
      </c>
      <c r="Y95" s="96" t="e">
        <f t="shared" si="96"/>
        <v>#DIV/0!</v>
      </c>
      <c r="Z95" s="96">
        <f t="shared" si="96"/>
        <v>9.5187486010978013</v>
      </c>
      <c r="AA95" s="96" t="e">
        <f t="shared" si="96"/>
        <v>#DIV/0!</v>
      </c>
      <c r="AB95" s="96" t="e">
        <f t="shared" si="96"/>
        <v>#DIV/0!</v>
      </c>
      <c r="AC95" s="96" t="e">
        <f t="shared" si="96"/>
        <v>#DIV/0!</v>
      </c>
      <c r="AD95" s="96" t="e">
        <f t="shared" si="96"/>
        <v>#DIV/0!</v>
      </c>
      <c r="AE95" s="96">
        <f t="shared" si="96"/>
        <v>11.115085467808601</v>
      </c>
      <c r="AF95" s="96" t="e">
        <f t="shared" si="96"/>
        <v>#DIV/0!</v>
      </c>
      <c r="AG95" s="96" t="e">
        <f t="shared" si="96"/>
        <v>#DIV/0!</v>
      </c>
      <c r="AH95" s="96" t="e">
        <f t="shared" si="96"/>
        <v>#DIV/0!</v>
      </c>
      <c r="AI95" s="96" t="e">
        <f t="shared" si="96"/>
        <v>#DIV/0!</v>
      </c>
      <c r="AJ95" s="96">
        <f t="shared" si="96"/>
        <v>11.466338296144301</v>
      </c>
      <c r="AK95" s="96" t="e">
        <f t="shared" si="96"/>
        <v>#DIV/0!</v>
      </c>
      <c r="AL95" s="96" t="e">
        <f t="shared" si="96"/>
        <v>#DIV/0!</v>
      </c>
      <c r="AM95" s="96" t="e">
        <f t="shared" si="96"/>
        <v>#DIV/0!</v>
      </c>
      <c r="AN95" s="96" t="e">
        <f t="shared" si="96"/>
        <v>#DIV/0!</v>
      </c>
      <c r="AO95" s="96">
        <f t="shared" si="96"/>
        <v>11.345755815727685</v>
      </c>
      <c r="AP95" s="96">
        <f t="shared" si="96"/>
        <v>10.622846758520788</v>
      </c>
      <c r="AQ95" s="96">
        <f t="shared" si="96"/>
        <v>9.9034361578599537</v>
      </c>
      <c r="AR95" s="32">
        <f t="shared" si="96"/>
        <v>9.1281081062513678</v>
      </c>
    </row>
    <row r="96" spans="5:44" x14ac:dyDescent="0.2">
      <c r="E96" s="38" t="s">
        <v>113</v>
      </c>
      <c r="F96" s="102">
        <f t="shared" ref="F96:AR96" si="97">F103/F13</f>
        <v>2.1089076433121017</v>
      </c>
      <c r="G96" s="102" t="e">
        <f t="shared" si="97"/>
        <v>#DIV/0!</v>
      </c>
      <c r="H96" s="102" t="e">
        <f t="shared" si="97"/>
        <v>#DIV/0!</v>
      </c>
      <c r="I96" s="102" t="e">
        <f t="shared" si="97"/>
        <v>#DIV/0!</v>
      </c>
      <c r="J96" s="102" t="e">
        <f t="shared" si="97"/>
        <v>#DIV/0!</v>
      </c>
      <c r="K96" s="102">
        <f t="shared" si="97"/>
        <v>2.6429329474191987</v>
      </c>
      <c r="L96" s="102" t="e">
        <f t="shared" si="97"/>
        <v>#DIV/0!</v>
      </c>
      <c r="M96" s="102" t="e">
        <f t="shared" si="97"/>
        <v>#DIV/0!</v>
      </c>
      <c r="N96" s="102" t="e">
        <f t="shared" si="97"/>
        <v>#DIV/0!</v>
      </c>
      <c r="O96" s="102" t="e">
        <f t="shared" si="97"/>
        <v>#DIV/0!</v>
      </c>
      <c r="P96" s="102">
        <f t="shared" si="97"/>
        <v>1.872477562095596</v>
      </c>
      <c r="Q96" s="102" t="e">
        <f t="shared" si="97"/>
        <v>#DIV/0!</v>
      </c>
      <c r="R96" s="102" t="e">
        <f t="shared" si="97"/>
        <v>#DIV/0!</v>
      </c>
      <c r="S96" s="102" t="e">
        <f t="shared" si="97"/>
        <v>#DIV/0!</v>
      </c>
      <c r="T96" s="102" t="e">
        <f t="shared" si="97"/>
        <v>#DIV/0!</v>
      </c>
      <c r="U96" s="102">
        <f t="shared" si="97"/>
        <v>2.0850648892374046</v>
      </c>
      <c r="V96" s="102" t="e">
        <f t="shared" si="97"/>
        <v>#DIV/0!</v>
      </c>
      <c r="W96" s="102" t="e">
        <f t="shared" si="97"/>
        <v>#DIV/0!</v>
      </c>
      <c r="X96" s="102" t="e">
        <f t="shared" si="97"/>
        <v>#DIV/0!</v>
      </c>
      <c r="Y96" s="102" t="e">
        <f t="shared" si="97"/>
        <v>#DIV/0!</v>
      </c>
      <c r="Z96" s="102">
        <f t="shared" si="97"/>
        <v>1.9739634012313383</v>
      </c>
      <c r="AA96" s="102" t="e">
        <f t="shared" si="97"/>
        <v>#DIV/0!</v>
      </c>
      <c r="AB96" s="102" t="e">
        <f t="shared" si="97"/>
        <v>#DIV/0!</v>
      </c>
      <c r="AC96" s="102" t="e">
        <f t="shared" si="97"/>
        <v>#DIV/0!</v>
      </c>
      <c r="AD96" s="102" t="e">
        <f t="shared" si="97"/>
        <v>#DIV/0!</v>
      </c>
      <c r="AE96" s="102">
        <f t="shared" si="97"/>
        <v>1.9794581083764413</v>
      </c>
      <c r="AF96" s="102" t="e">
        <f t="shared" si="97"/>
        <v>#DIV/0!</v>
      </c>
      <c r="AG96" s="102" t="e">
        <f t="shared" si="97"/>
        <v>#DIV/0!</v>
      </c>
      <c r="AH96" s="102" t="e">
        <f t="shared" si="97"/>
        <v>#DIV/0!</v>
      </c>
      <c r="AI96" s="102" t="e">
        <f t="shared" si="97"/>
        <v>#DIV/0!</v>
      </c>
      <c r="AJ96" s="102">
        <f t="shared" si="97"/>
        <v>1.9400410746567021</v>
      </c>
      <c r="AK96" s="102" t="e">
        <f t="shared" si="97"/>
        <v>#DIV/0!</v>
      </c>
      <c r="AL96" s="102" t="e">
        <f t="shared" si="97"/>
        <v>#DIV/0!</v>
      </c>
      <c r="AM96" s="102" t="e">
        <f t="shared" si="97"/>
        <v>#DIV/0!</v>
      </c>
      <c r="AN96" s="102" t="e">
        <f t="shared" si="97"/>
        <v>#DIV/0!</v>
      </c>
      <c r="AO96" s="102">
        <f t="shared" si="97"/>
        <v>1.8991963543843151</v>
      </c>
      <c r="AP96" s="102">
        <f t="shared" si="97"/>
        <v>1.8309059588077869</v>
      </c>
      <c r="AQ96" s="102">
        <f t="shared" si="97"/>
        <v>1.745885293720967</v>
      </c>
      <c r="AR96" s="66">
        <f t="shared" si="97"/>
        <v>1.6563339496140324</v>
      </c>
    </row>
    <row r="97" spans="5:44" x14ac:dyDescent="0.2">
      <c r="E97" s="40" t="s">
        <v>90</v>
      </c>
      <c r="F97" s="17">
        <f>F107/F109</f>
        <v>8.858571870028498E-3</v>
      </c>
      <c r="G97" s="17" t="e">
        <f t="shared" ref="G97:AR97" si="98">G107/G109</f>
        <v>#DIV/0!</v>
      </c>
      <c r="H97" s="17" t="e">
        <f t="shared" si="98"/>
        <v>#DIV/0!</v>
      </c>
      <c r="I97" s="17" t="e">
        <f t="shared" si="98"/>
        <v>#DIV/0!</v>
      </c>
      <c r="J97" s="17" t="e">
        <f t="shared" si="98"/>
        <v>#DIV/0!</v>
      </c>
      <c r="K97" s="78">
        <f t="shared" si="98"/>
        <v>-4.4475421978635212E-3</v>
      </c>
      <c r="L97" s="78" t="e">
        <f t="shared" si="98"/>
        <v>#DIV/0!</v>
      </c>
      <c r="M97" s="78" t="e">
        <f t="shared" si="98"/>
        <v>#DIV/0!</v>
      </c>
      <c r="N97" s="78" t="e">
        <f t="shared" si="98"/>
        <v>#DIV/0!</v>
      </c>
      <c r="O97" s="78" t="e">
        <f t="shared" si="98"/>
        <v>#DIV/0!</v>
      </c>
      <c r="P97" s="78">
        <f t="shared" si="98"/>
        <v>-9.8771919581168129E-4</v>
      </c>
      <c r="Q97" s="17" t="e">
        <f t="shared" si="98"/>
        <v>#DIV/0!</v>
      </c>
      <c r="R97" s="17" t="e">
        <f t="shared" si="98"/>
        <v>#DIV/0!</v>
      </c>
      <c r="S97" s="17" t="e">
        <f t="shared" si="98"/>
        <v>#DIV/0!</v>
      </c>
      <c r="T97" s="17" t="e">
        <f t="shared" si="98"/>
        <v>#DIV/0!</v>
      </c>
      <c r="U97" s="78">
        <f t="shared" si="98"/>
        <v>-1.2109444726977571E-2</v>
      </c>
      <c r="V97" s="17" t="e">
        <f t="shared" si="98"/>
        <v>#DIV/0!</v>
      </c>
      <c r="W97" s="17" t="e">
        <f t="shared" si="98"/>
        <v>#DIV/0!</v>
      </c>
      <c r="X97" s="17" t="e">
        <f t="shared" si="98"/>
        <v>#DIV/0!</v>
      </c>
      <c r="Y97" s="17" t="e">
        <f t="shared" si="98"/>
        <v>#DIV/0!</v>
      </c>
      <c r="Z97" s="17">
        <f t="shared" si="98"/>
        <v>1.1450296445846182E-2</v>
      </c>
      <c r="AA97" s="17" t="e">
        <f t="shared" si="98"/>
        <v>#DIV/0!</v>
      </c>
      <c r="AB97" s="17" t="e">
        <f t="shared" si="98"/>
        <v>#DIV/0!</v>
      </c>
      <c r="AC97" s="17" t="e">
        <f t="shared" si="98"/>
        <v>#DIV/0!</v>
      </c>
      <c r="AD97" s="17" t="e">
        <f t="shared" si="98"/>
        <v>#DIV/0!</v>
      </c>
      <c r="AE97" s="17">
        <f t="shared" si="98"/>
        <v>8.5233423310053513E-3</v>
      </c>
      <c r="AF97" s="17" t="e">
        <f t="shared" si="98"/>
        <v>#DIV/0!</v>
      </c>
      <c r="AG97" s="17" t="e">
        <f t="shared" si="98"/>
        <v>#DIV/0!</v>
      </c>
      <c r="AH97" s="17" t="e">
        <f t="shared" si="98"/>
        <v>#DIV/0!</v>
      </c>
      <c r="AI97" s="17" t="e">
        <f t="shared" si="98"/>
        <v>#DIV/0!</v>
      </c>
      <c r="AJ97" s="17">
        <f t="shared" si="98"/>
        <v>1.0449431522343063E-2</v>
      </c>
      <c r="AK97" s="17" t="e">
        <f t="shared" si="98"/>
        <v>#DIV/0!</v>
      </c>
      <c r="AL97" s="17" t="e">
        <f t="shared" si="98"/>
        <v>#DIV/0!</v>
      </c>
      <c r="AM97" s="17" t="e">
        <f t="shared" si="98"/>
        <v>#DIV/0!</v>
      </c>
      <c r="AN97" s="17" t="e">
        <f t="shared" si="98"/>
        <v>#DIV/0!</v>
      </c>
      <c r="AO97" s="17">
        <f t="shared" si="98"/>
        <v>1.5195118204232196E-2</v>
      </c>
      <c r="AP97" s="17">
        <f t="shared" si="98"/>
        <v>1.8127627850226639E-2</v>
      </c>
      <c r="AQ97" s="17">
        <f t="shared" si="98"/>
        <v>2.2255633925588245E-2</v>
      </c>
      <c r="AR97" s="18">
        <f t="shared" si="98"/>
        <v>2.6916127578569E-2</v>
      </c>
    </row>
    <row r="98" spans="5:44" x14ac:dyDescent="0.2">
      <c r="E98" s="40" t="s">
        <v>91</v>
      </c>
      <c r="F98" s="17">
        <f t="shared" ref="F98:AR98" si="99">F42/F89</f>
        <v>0.10899873257287707</v>
      </c>
      <c r="G98" s="17" t="e">
        <f t="shared" si="99"/>
        <v>#REF!</v>
      </c>
      <c r="H98" s="17" t="e">
        <f t="shared" si="99"/>
        <v>#REF!</v>
      </c>
      <c r="I98" s="17" t="e">
        <f t="shared" si="99"/>
        <v>#REF!</v>
      </c>
      <c r="J98" s="17" t="e">
        <f t="shared" si="99"/>
        <v>#REF!</v>
      </c>
      <c r="K98" s="17">
        <f t="shared" si="99"/>
        <v>2.73121387283237E-2</v>
      </c>
      <c r="L98" s="17" t="e">
        <f t="shared" si="99"/>
        <v>#REF!</v>
      </c>
      <c r="M98" s="17" t="e">
        <f t="shared" si="99"/>
        <v>#REF!</v>
      </c>
      <c r="N98" s="17" t="e">
        <f t="shared" si="99"/>
        <v>#REF!</v>
      </c>
      <c r="O98" s="17" t="e">
        <f t="shared" si="99"/>
        <v>#REF!</v>
      </c>
      <c r="P98" s="17">
        <f t="shared" si="99"/>
        <v>-3.102078239608802E-2</v>
      </c>
      <c r="Q98" s="17" t="e">
        <f t="shared" si="99"/>
        <v>#REF!</v>
      </c>
      <c r="R98" s="17" t="e">
        <f t="shared" si="99"/>
        <v>#REF!</v>
      </c>
      <c r="S98" s="17" t="e">
        <f t="shared" si="99"/>
        <v>#REF!</v>
      </c>
      <c r="T98" s="17" t="e">
        <f t="shared" si="99"/>
        <v>#REF!</v>
      </c>
      <c r="U98" s="17">
        <f t="shared" si="99"/>
        <v>-6.4887252646111365E-2</v>
      </c>
      <c r="V98" s="17" t="e">
        <f t="shared" si="99"/>
        <v>#REF!</v>
      </c>
      <c r="W98" s="17" t="e">
        <f t="shared" si="99"/>
        <v>#REF!</v>
      </c>
      <c r="X98" s="17" t="e">
        <f t="shared" si="99"/>
        <v>#REF!</v>
      </c>
      <c r="Y98" s="17" t="e">
        <f t="shared" si="99"/>
        <v>#REF!</v>
      </c>
      <c r="Z98" s="17">
        <f t="shared" si="99"/>
        <v>-3.3998626578838606E-2</v>
      </c>
      <c r="AA98" s="17" t="e">
        <f t="shared" si="99"/>
        <v>#DIV/0!</v>
      </c>
      <c r="AB98" s="17" t="e">
        <f t="shared" si="99"/>
        <v>#DIV/0!</v>
      </c>
      <c r="AC98" s="17" t="e">
        <f t="shared" si="99"/>
        <v>#DIV/0!</v>
      </c>
      <c r="AD98" s="17" t="e">
        <f t="shared" si="99"/>
        <v>#DIV/0!</v>
      </c>
      <c r="AE98" s="17">
        <f t="shared" si="99"/>
        <v>-3.0546146092081755E-2</v>
      </c>
      <c r="AF98" s="17" t="e">
        <f t="shared" si="99"/>
        <v>#DIV/0!</v>
      </c>
      <c r="AG98" s="17" t="e">
        <f t="shared" si="99"/>
        <v>#DIV/0!</v>
      </c>
      <c r="AH98" s="17" t="e">
        <f t="shared" si="99"/>
        <v>#DIV/0!</v>
      </c>
      <c r="AI98" s="17" t="e">
        <f t="shared" si="99"/>
        <v>#DIV/0!</v>
      </c>
      <c r="AJ98" s="17">
        <f t="shared" si="99"/>
        <v>-1.9240800146757647E-2</v>
      </c>
      <c r="AK98" s="17" t="e">
        <f t="shared" si="99"/>
        <v>#DIV/0!</v>
      </c>
      <c r="AL98" s="17" t="e">
        <f t="shared" si="99"/>
        <v>#DIV/0!</v>
      </c>
      <c r="AM98" s="17" t="e">
        <f t="shared" si="99"/>
        <v>#DIV/0!</v>
      </c>
      <c r="AN98" s="17" t="e">
        <f t="shared" si="99"/>
        <v>#DIV/0!</v>
      </c>
      <c r="AO98" s="17">
        <f t="shared" si="99"/>
        <v>4.0782787594248488E-3</v>
      </c>
      <c r="AP98" s="17">
        <f t="shared" si="99"/>
        <v>5.7436313738736698E-3</v>
      </c>
      <c r="AQ98" s="17">
        <f t="shared" si="99"/>
        <v>7.9640127290329082E-3</v>
      </c>
      <c r="AR98" s="18">
        <f t="shared" si="99"/>
        <v>1.0252914716948044E-2</v>
      </c>
    </row>
    <row r="99" spans="5:44" x14ac:dyDescent="0.2">
      <c r="E99" s="40" t="s">
        <v>92</v>
      </c>
      <c r="F99" s="17">
        <f t="shared" ref="F99:AR99" si="100">F42/F81</f>
        <v>6.9454414931801864E-2</v>
      </c>
      <c r="G99" s="17">
        <f t="shared" si="100"/>
        <v>0</v>
      </c>
      <c r="H99" s="17">
        <f t="shared" si="100"/>
        <v>0</v>
      </c>
      <c r="I99" s="17">
        <f t="shared" si="100"/>
        <v>0</v>
      </c>
      <c r="J99" s="17">
        <f t="shared" si="100"/>
        <v>0</v>
      </c>
      <c r="K99" s="17">
        <f t="shared" si="100"/>
        <v>1.4060407677428954E-2</v>
      </c>
      <c r="L99" s="17">
        <f t="shared" si="100"/>
        <v>0</v>
      </c>
      <c r="M99" s="17">
        <f t="shared" si="100"/>
        <v>0</v>
      </c>
      <c r="N99" s="17">
        <f t="shared" si="100"/>
        <v>0</v>
      </c>
      <c r="O99" s="17">
        <f t="shared" si="100"/>
        <v>0</v>
      </c>
      <c r="P99" s="17">
        <f t="shared" si="100"/>
        <v>-1.5071646001930358E-2</v>
      </c>
      <c r="Q99" s="17">
        <f t="shared" si="100"/>
        <v>0</v>
      </c>
      <c r="R99" s="17">
        <f t="shared" si="100"/>
        <v>0</v>
      </c>
      <c r="S99" s="17">
        <f t="shared" si="100"/>
        <v>0</v>
      </c>
      <c r="T99" s="17">
        <f t="shared" si="100"/>
        <v>0</v>
      </c>
      <c r="U99" s="17">
        <f t="shared" si="100"/>
        <v>-3.0166880616174584E-2</v>
      </c>
      <c r="V99" s="17">
        <f t="shared" si="100"/>
        <v>0</v>
      </c>
      <c r="W99" s="17" t="e">
        <f t="shared" si="100"/>
        <v>#DIV/0!</v>
      </c>
      <c r="X99" s="17" t="e">
        <f t="shared" si="100"/>
        <v>#DIV/0!</v>
      </c>
      <c r="Y99" s="17" t="e">
        <f t="shared" si="100"/>
        <v>#DIV/0!</v>
      </c>
      <c r="Z99" s="17">
        <f t="shared" si="100"/>
        <v>-1.5736770146873812E-2</v>
      </c>
      <c r="AA99" s="17" t="e">
        <f t="shared" si="100"/>
        <v>#DIV/0!</v>
      </c>
      <c r="AB99" s="17" t="e">
        <f t="shared" si="100"/>
        <v>#DIV/0!</v>
      </c>
      <c r="AC99" s="17" t="e">
        <f t="shared" si="100"/>
        <v>#DIV/0!</v>
      </c>
      <c r="AD99" s="17" t="e">
        <f t="shared" si="100"/>
        <v>#DIV/0!</v>
      </c>
      <c r="AE99" s="17">
        <f t="shared" si="100"/>
        <v>-1.3522138432847291E-2</v>
      </c>
      <c r="AF99" s="17" t="e">
        <f t="shared" si="100"/>
        <v>#DIV/0!</v>
      </c>
      <c r="AG99" s="17" t="e">
        <f t="shared" si="100"/>
        <v>#DIV/0!</v>
      </c>
      <c r="AH99" s="17" t="e">
        <f t="shared" si="100"/>
        <v>#DIV/0!</v>
      </c>
      <c r="AI99" s="17" t="e">
        <f t="shared" si="100"/>
        <v>#DIV/0!</v>
      </c>
      <c r="AJ99" s="17">
        <f t="shared" si="100"/>
        <v>-8.252387362831376E-3</v>
      </c>
      <c r="AK99" s="17" t="e">
        <f t="shared" si="100"/>
        <v>#DIV/0!</v>
      </c>
      <c r="AL99" s="17" t="e">
        <f t="shared" si="100"/>
        <v>#DIV/0!</v>
      </c>
      <c r="AM99" s="17" t="e">
        <f t="shared" si="100"/>
        <v>#DIV/0!</v>
      </c>
      <c r="AN99" s="17" t="e">
        <f t="shared" si="100"/>
        <v>#DIV/0!</v>
      </c>
      <c r="AO99" s="17">
        <f t="shared" si="100"/>
        <v>1.6795547566539927E-3</v>
      </c>
      <c r="AP99" s="17">
        <f t="shared" si="100"/>
        <v>2.3450971419709862E-3</v>
      </c>
      <c r="AQ99" s="17">
        <f t="shared" si="100"/>
        <v>3.2217625867897726E-3</v>
      </c>
      <c r="AR99" s="18">
        <f t="shared" si="100"/>
        <v>4.1038406732097519E-3</v>
      </c>
    </row>
    <row r="100" spans="5:44" x14ac:dyDescent="0.2">
      <c r="E100" s="84" t="s">
        <v>93</v>
      </c>
      <c r="F100" s="2">
        <f>Data!F2</f>
        <v>16.82</v>
      </c>
      <c r="G100" s="2"/>
      <c r="H100" s="2"/>
      <c r="I100" s="2"/>
      <c r="J100" s="2"/>
      <c r="K100" s="2">
        <f>Data!F14</f>
        <v>19.2</v>
      </c>
      <c r="L100" s="2"/>
      <c r="M100" s="2"/>
      <c r="N100" s="2"/>
      <c r="O100" s="2"/>
      <c r="P100" s="2">
        <f>Data!F38</f>
        <v>12.8</v>
      </c>
      <c r="Q100" s="2"/>
      <c r="R100" s="2"/>
      <c r="S100" s="2"/>
      <c r="T100" s="2"/>
      <c r="U100" s="2">
        <f>Data!F49</f>
        <v>16.82</v>
      </c>
      <c r="V100" s="2"/>
      <c r="W100" s="2"/>
      <c r="X100" s="2"/>
      <c r="Y100" s="2"/>
      <c r="Z100" s="103">
        <f>Data!A3</f>
        <v>16.691875</v>
      </c>
      <c r="AA100" s="104">
        <v>16.8</v>
      </c>
      <c r="AB100" s="104">
        <v>16.8</v>
      </c>
      <c r="AC100" s="104">
        <v>16.8</v>
      </c>
      <c r="AD100" s="104">
        <v>16.8</v>
      </c>
      <c r="AE100" s="103">
        <f>Z100</f>
        <v>16.691875</v>
      </c>
      <c r="AF100" s="104">
        <v>16.8</v>
      </c>
      <c r="AG100" s="104">
        <v>16.8</v>
      </c>
      <c r="AH100" s="104">
        <v>16.8</v>
      </c>
      <c r="AI100" s="104">
        <v>16.8</v>
      </c>
      <c r="AJ100" s="103">
        <f>Z100</f>
        <v>16.691875</v>
      </c>
      <c r="AK100" s="104">
        <v>16.8</v>
      </c>
      <c r="AL100" s="104">
        <v>16.8</v>
      </c>
      <c r="AM100" s="104">
        <v>16.8</v>
      </c>
      <c r="AN100" s="104">
        <v>16.8</v>
      </c>
      <c r="AO100" s="103">
        <f>Z100</f>
        <v>16.691875</v>
      </c>
      <c r="AP100" s="103">
        <f>17</f>
        <v>17</v>
      </c>
      <c r="AQ100" s="103">
        <f>AP100</f>
        <v>17</v>
      </c>
      <c r="AR100" s="85">
        <f>AQ100</f>
        <v>17</v>
      </c>
    </row>
    <row r="101" spans="5:44" x14ac:dyDescent="0.2">
      <c r="E101" s="19" t="s">
        <v>97</v>
      </c>
      <c r="F101" s="14">
        <f t="shared" ref="F101:AR101" si="101">F100*F44</f>
        <v>5890.3639999999996</v>
      </c>
      <c r="G101" s="14">
        <f t="shared" si="101"/>
        <v>0</v>
      </c>
      <c r="H101" s="14">
        <f t="shared" si="101"/>
        <v>0</v>
      </c>
      <c r="I101" s="14">
        <f t="shared" si="101"/>
        <v>0</v>
      </c>
      <c r="J101" s="14">
        <f t="shared" si="101"/>
        <v>0</v>
      </c>
      <c r="K101" s="14">
        <f t="shared" si="101"/>
        <v>6729.5999999999995</v>
      </c>
      <c r="L101" s="14">
        <f t="shared" si="101"/>
        <v>0</v>
      </c>
      <c r="M101" s="14">
        <f t="shared" si="101"/>
        <v>0</v>
      </c>
      <c r="N101" s="14">
        <f t="shared" si="101"/>
        <v>0</v>
      </c>
      <c r="O101" s="14">
        <f t="shared" si="101"/>
        <v>0</v>
      </c>
      <c r="P101" s="14">
        <f t="shared" si="101"/>
        <v>4503.04</v>
      </c>
      <c r="Q101" s="14">
        <f t="shared" si="101"/>
        <v>0</v>
      </c>
      <c r="R101" s="14">
        <f t="shared" si="101"/>
        <v>0</v>
      </c>
      <c r="S101" s="14">
        <f t="shared" si="101"/>
        <v>0</v>
      </c>
      <c r="T101" s="14">
        <f t="shared" si="101"/>
        <v>0</v>
      </c>
      <c r="U101" s="14">
        <f t="shared" si="101"/>
        <v>5950.9160000000002</v>
      </c>
      <c r="V101" s="14">
        <f t="shared" si="101"/>
        <v>0</v>
      </c>
      <c r="W101" s="14">
        <f t="shared" si="101"/>
        <v>0</v>
      </c>
      <c r="X101" s="14">
        <f t="shared" si="101"/>
        <v>0</v>
      </c>
      <c r="Y101" s="14">
        <f t="shared" si="101"/>
        <v>0</v>
      </c>
      <c r="Z101" s="14">
        <f t="shared" si="101"/>
        <v>5905.5853749999997</v>
      </c>
      <c r="AA101" s="14">
        <f t="shared" si="101"/>
        <v>0</v>
      </c>
      <c r="AB101" s="14">
        <f t="shared" si="101"/>
        <v>0</v>
      </c>
      <c r="AC101" s="14">
        <f t="shared" si="101"/>
        <v>0</v>
      </c>
      <c r="AD101" s="14">
        <f t="shared" si="101"/>
        <v>0</v>
      </c>
      <c r="AE101" s="14">
        <f t="shared" si="101"/>
        <v>5905.5853749999997</v>
      </c>
      <c r="AF101" s="14">
        <f t="shared" si="101"/>
        <v>0</v>
      </c>
      <c r="AG101" s="14">
        <f t="shared" si="101"/>
        <v>0</v>
      </c>
      <c r="AH101" s="14">
        <f t="shared" si="101"/>
        <v>0</v>
      </c>
      <c r="AI101" s="14">
        <f t="shared" si="101"/>
        <v>0</v>
      </c>
      <c r="AJ101" s="14">
        <f t="shared" si="101"/>
        <v>5905.5853749999997</v>
      </c>
      <c r="AK101" s="14">
        <f t="shared" si="101"/>
        <v>0</v>
      </c>
      <c r="AL101" s="14">
        <f t="shared" si="101"/>
        <v>0</v>
      </c>
      <c r="AM101" s="14">
        <f t="shared" si="101"/>
        <v>0</v>
      </c>
      <c r="AN101" s="14">
        <f t="shared" si="101"/>
        <v>0</v>
      </c>
      <c r="AO101" s="14">
        <f t="shared" si="101"/>
        <v>5905.5853749999997</v>
      </c>
      <c r="AP101" s="14">
        <f t="shared" si="101"/>
        <v>6014.6</v>
      </c>
      <c r="AQ101" s="14">
        <f t="shared" si="101"/>
        <v>6014.6</v>
      </c>
      <c r="AR101" s="15">
        <f t="shared" si="101"/>
        <v>6014.6</v>
      </c>
    </row>
    <row r="102" spans="5:44" x14ac:dyDescent="0.2">
      <c r="E102" s="19" t="s">
        <v>98</v>
      </c>
      <c r="F102" s="105">
        <f t="shared" ref="F102:AR102" si="102">F87+F84-F70-F71</f>
        <v>2056</v>
      </c>
      <c r="G102" s="105">
        <f t="shared" si="102"/>
        <v>0</v>
      </c>
      <c r="H102" s="105">
        <f t="shared" si="102"/>
        <v>0</v>
      </c>
      <c r="I102" s="105">
        <f t="shared" si="102"/>
        <v>0</v>
      </c>
      <c r="J102" s="105">
        <f t="shared" si="102"/>
        <v>0</v>
      </c>
      <c r="K102" s="105">
        <f t="shared" si="102"/>
        <v>4228</v>
      </c>
      <c r="L102" s="105">
        <f t="shared" si="102"/>
        <v>0</v>
      </c>
      <c r="M102" s="105">
        <f t="shared" si="102"/>
        <v>0</v>
      </c>
      <c r="N102" s="105">
        <f t="shared" si="102"/>
        <v>0</v>
      </c>
      <c r="O102" s="105">
        <f t="shared" si="102"/>
        <v>0</v>
      </c>
      <c r="P102" s="105">
        <f t="shared" si="102"/>
        <v>4468</v>
      </c>
      <c r="Q102" s="105">
        <f t="shared" si="102"/>
        <v>0</v>
      </c>
      <c r="R102" s="105">
        <f t="shared" si="102"/>
        <v>0</v>
      </c>
      <c r="S102" s="105">
        <f t="shared" si="102"/>
        <v>0</v>
      </c>
      <c r="T102" s="105">
        <f t="shared" si="102"/>
        <v>0</v>
      </c>
      <c r="U102" s="105">
        <f t="shared" si="102"/>
        <v>4685</v>
      </c>
      <c r="V102" s="105">
        <f t="shared" si="102"/>
        <v>0</v>
      </c>
      <c r="W102" s="105">
        <f t="shared" si="102"/>
        <v>0</v>
      </c>
      <c r="X102" s="105">
        <f t="shared" si="102"/>
        <v>0</v>
      </c>
      <c r="Y102" s="105">
        <f t="shared" si="102"/>
        <v>0</v>
      </c>
      <c r="Z102" s="105">
        <f t="shared" si="102"/>
        <v>4868.3991120690825</v>
      </c>
      <c r="AA102" s="105" t="e">
        <f t="shared" si="102"/>
        <v>#DIV/0!</v>
      </c>
      <c r="AB102" s="105" t="e">
        <f t="shared" si="102"/>
        <v>#DIV/0!</v>
      </c>
      <c r="AC102" s="105" t="e">
        <f t="shared" si="102"/>
        <v>#DIV/0!</v>
      </c>
      <c r="AD102" s="105" t="e">
        <f t="shared" si="102"/>
        <v>#DIV/0!</v>
      </c>
      <c r="AE102" s="105">
        <f t="shared" si="102"/>
        <v>5430.6872864054012</v>
      </c>
      <c r="AF102" s="105" t="e">
        <f t="shared" si="102"/>
        <v>#DIV/0!</v>
      </c>
      <c r="AG102" s="105" t="e">
        <f t="shared" si="102"/>
        <v>#DIV/0!</v>
      </c>
      <c r="AH102" s="105" t="e">
        <f t="shared" si="102"/>
        <v>#DIV/0!</v>
      </c>
      <c r="AI102" s="105" t="e">
        <f t="shared" si="102"/>
        <v>#DIV/0!</v>
      </c>
      <c r="AJ102" s="105">
        <f t="shared" si="102"/>
        <v>5752.7941278099934</v>
      </c>
      <c r="AK102" s="105" t="e">
        <f t="shared" si="102"/>
        <v>#DIV/0!</v>
      </c>
      <c r="AL102" s="105" t="e">
        <f t="shared" si="102"/>
        <v>#DIV/0!</v>
      </c>
      <c r="AM102" s="105" t="e">
        <f t="shared" si="102"/>
        <v>#DIV/0!</v>
      </c>
      <c r="AN102" s="105" t="e">
        <f t="shared" si="102"/>
        <v>#DIV/0!</v>
      </c>
      <c r="AO102" s="105">
        <f t="shared" si="102"/>
        <v>6070.5586287239985</v>
      </c>
      <c r="AP102" s="105">
        <f t="shared" si="102"/>
        <v>5870.221408079964</v>
      </c>
      <c r="AQ102" s="105">
        <f t="shared" si="102"/>
        <v>5651.8588165032825</v>
      </c>
      <c r="AR102" s="67">
        <f t="shared" si="102"/>
        <v>5379.636261614407</v>
      </c>
    </row>
    <row r="103" spans="5:44" ht="17" thickBot="1" x14ac:dyDescent="0.25">
      <c r="E103" s="45" t="s">
        <v>99</v>
      </c>
      <c r="F103" s="51">
        <f>F101+F102</f>
        <v>7946.3639999999996</v>
      </c>
      <c r="G103" s="51">
        <f t="shared" ref="G103:AN103" si="103">G101+G102</f>
        <v>0</v>
      </c>
      <c r="H103" s="51">
        <f t="shared" si="103"/>
        <v>0</v>
      </c>
      <c r="I103" s="51">
        <f t="shared" si="103"/>
        <v>0</v>
      </c>
      <c r="J103" s="51">
        <f t="shared" si="103"/>
        <v>0</v>
      </c>
      <c r="K103" s="51">
        <f t="shared" si="103"/>
        <v>10957.599999999999</v>
      </c>
      <c r="L103" s="51">
        <f t="shared" si="103"/>
        <v>0</v>
      </c>
      <c r="M103" s="51">
        <f t="shared" si="103"/>
        <v>0</v>
      </c>
      <c r="N103" s="51">
        <f t="shared" si="103"/>
        <v>0</v>
      </c>
      <c r="O103" s="51">
        <f t="shared" si="103"/>
        <v>0</v>
      </c>
      <c r="P103" s="51">
        <f t="shared" si="103"/>
        <v>8971.0400000000009</v>
      </c>
      <c r="Q103" s="51">
        <f t="shared" si="103"/>
        <v>0</v>
      </c>
      <c r="R103" s="51">
        <f t="shared" si="103"/>
        <v>0</v>
      </c>
      <c r="S103" s="51">
        <f t="shared" si="103"/>
        <v>0</v>
      </c>
      <c r="T103" s="51">
        <f t="shared" si="103"/>
        <v>0</v>
      </c>
      <c r="U103" s="51">
        <f t="shared" si="103"/>
        <v>10635.916000000001</v>
      </c>
      <c r="V103" s="51">
        <f t="shared" si="103"/>
        <v>0</v>
      </c>
      <c r="W103" s="51">
        <f t="shared" si="103"/>
        <v>0</v>
      </c>
      <c r="X103" s="51">
        <f t="shared" si="103"/>
        <v>0</v>
      </c>
      <c r="Y103" s="51">
        <f t="shared" si="103"/>
        <v>0</v>
      </c>
      <c r="Z103" s="51">
        <f t="shared" si="103"/>
        <v>10773.984487069083</v>
      </c>
      <c r="AA103" s="51" t="e">
        <f t="shared" si="103"/>
        <v>#DIV/0!</v>
      </c>
      <c r="AB103" s="51" t="e">
        <f t="shared" si="103"/>
        <v>#DIV/0!</v>
      </c>
      <c r="AC103" s="51" t="e">
        <f t="shared" si="103"/>
        <v>#DIV/0!</v>
      </c>
      <c r="AD103" s="51" t="e">
        <f t="shared" si="103"/>
        <v>#DIV/0!</v>
      </c>
      <c r="AE103" s="51">
        <f t="shared" si="103"/>
        <v>11336.272661405401</v>
      </c>
      <c r="AF103" s="51" t="e">
        <f t="shared" si="103"/>
        <v>#DIV/0!</v>
      </c>
      <c r="AG103" s="51" t="e">
        <f t="shared" si="103"/>
        <v>#DIV/0!</v>
      </c>
      <c r="AH103" s="51" t="e">
        <f t="shared" si="103"/>
        <v>#DIV/0!</v>
      </c>
      <c r="AI103" s="51" t="e">
        <f t="shared" si="103"/>
        <v>#DIV/0!</v>
      </c>
      <c r="AJ103" s="51">
        <f t="shared" si="103"/>
        <v>11658.379502809992</v>
      </c>
      <c r="AK103" s="51" t="e">
        <f t="shared" si="103"/>
        <v>#DIV/0!</v>
      </c>
      <c r="AL103" s="51" t="e">
        <f t="shared" si="103"/>
        <v>#DIV/0!</v>
      </c>
      <c r="AM103" s="51" t="e">
        <f t="shared" si="103"/>
        <v>#DIV/0!</v>
      </c>
      <c r="AN103" s="51" t="e">
        <f t="shared" si="103"/>
        <v>#DIV/0!</v>
      </c>
      <c r="AO103" s="51">
        <f>AO101+AO102</f>
        <v>11976.144003723999</v>
      </c>
      <c r="AP103" s="51">
        <f t="shared" ref="AP103:AR103" si="104">AP101+AP102</f>
        <v>11884.821408079964</v>
      </c>
      <c r="AQ103" s="51">
        <f t="shared" si="104"/>
        <v>11666.458816503284</v>
      </c>
      <c r="AR103" s="64">
        <f t="shared" si="104"/>
        <v>11394.236261614407</v>
      </c>
    </row>
    <row r="105" spans="5:44" ht="17" thickBot="1" x14ac:dyDescent="0.25"/>
    <row r="106" spans="5:44" x14ac:dyDescent="0.2">
      <c r="E106" s="134" t="s">
        <v>109</v>
      </c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5"/>
      <c r="AI106" s="135"/>
      <c r="AJ106" s="135"/>
      <c r="AK106" s="135"/>
      <c r="AL106" s="135"/>
      <c r="AM106" s="135"/>
      <c r="AN106" s="135"/>
      <c r="AO106" s="135"/>
      <c r="AP106" s="135"/>
      <c r="AQ106" s="135"/>
      <c r="AR106" s="136"/>
    </row>
    <row r="107" spans="5:44" x14ac:dyDescent="0.2">
      <c r="E107" s="19" t="s">
        <v>110</v>
      </c>
      <c r="F107" s="53">
        <f>F33*(1-F41)</f>
        <v>59.53846153846154</v>
      </c>
      <c r="G107" s="53" t="e">
        <f t="shared" ref="G107:AR107" si="105">G33*(1-G41)</f>
        <v>#DIV/0!</v>
      </c>
      <c r="H107" s="53" t="e">
        <f t="shared" si="105"/>
        <v>#DIV/0!</v>
      </c>
      <c r="I107" s="53" t="e">
        <f t="shared" si="105"/>
        <v>#DIV/0!</v>
      </c>
      <c r="J107" s="53" t="e">
        <f t="shared" si="105"/>
        <v>#DIV/0!</v>
      </c>
      <c r="K107" s="53">
        <f t="shared" si="105"/>
        <v>-29.29151291512915</v>
      </c>
      <c r="L107" s="53" t="e">
        <f t="shared" si="105"/>
        <v>#DIV/0!</v>
      </c>
      <c r="M107" s="53" t="e">
        <f t="shared" si="105"/>
        <v>#DIV/0!</v>
      </c>
      <c r="N107" s="53" t="e">
        <f t="shared" si="105"/>
        <v>#DIV/0!</v>
      </c>
      <c r="O107" s="53" t="e">
        <f t="shared" si="105"/>
        <v>#DIV/0!</v>
      </c>
      <c r="P107" s="53">
        <f t="shared" si="105"/>
        <v>-6.1515151515151514</v>
      </c>
      <c r="Q107" s="53" t="e">
        <f t="shared" si="105"/>
        <v>#DIV/0!</v>
      </c>
      <c r="R107" s="53" t="e">
        <f t="shared" si="105"/>
        <v>#DIV/0!</v>
      </c>
      <c r="S107" s="53" t="e">
        <f t="shared" si="105"/>
        <v>#DIV/0!</v>
      </c>
      <c r="T107" s="53" t="e">
        <f t="shared" si="105"/>
        <v>#DIV/0!</v>
      </c>
      <c r="U107" s="53">
        <f t="shared" si="105"/>
        <v>-74.13402061855669</v>
      </c>
      <c r="V107" s="53" t="e">
        <f t="shared" si="105"/>
        <v>#DIV/0!</v>
      </c>
      <c r="W107" s="53" t="e">
        <f t="shared" si="105"/>
        <v>#DIV/0!</v>
      </c>
      <c r="X107" s="53" t="e">
        <f t="shared" si="105"/>
        <v>#DIV/0!</v>
      </c>
      <c r="Y107" s="53" t="e">
        <f t="shared" si="105"/>
        <v>#DIV/0!</v>
      </c>
      <c r="Z107" s="53">
        <f t="shared" si="105"/>
        <v>70.362953332551115</v>
      </c>
      <c r="AA107" s="53" t="e">
        <f t="shared" si="105"/>
        <v>#DIV/0!</v>
      </c>
      <c r="AB107" s="53" t="e">
        <f t="shared" si="105"/>
        <v>#DIV/0!</v>
      </c>
      <c r="AC107" s="53" t="e">
        <f t="shared" si="105"/>
        <v>#DIV/0!</v>
      </c>
      <c r="AD107" s="53" t="e">
        <f t="shared" si="105"/>
        <v>#DIV/0!</v>
      </c>
      <c r="AE107" s="53">
        <f t="shared" si="105"/>
        <v>52.069673625719048</v>
      </c>
      <c r="AF107" s="53" t="e">
        <f t="shared" si="105"/>
        <v>#DIV/0!</v>
      </c>
      <c r="AG107" s="53" t="e">
        <f t="shared" si="105"/>
        <v>#DIV/0!</v>
      </c>
      <c r="AH107" s="53" t="e">
        <f t="shared" si="105"/>
        <v>#DIV/0!</v>
      </c>
      <c r="AI107" s="53" t="e">
        <f t="shared" si="105"/>
        <v>#DIV/0!</v>
      </c>
      <c r="AJ107" s="53">
        <f t="shared" si="105"/>
        <v>62.569223843286913</v>
      </c>
      <c r="AK107" s="53" t="e">
        <f t="shared" si="105"/>
        <v>#DIV/0!</v>
      </c>
      <c r="AL107" s="53" t="e">
        <f t="shared" si="105"/>
        <v>#DIV/0!</v>
      </c>
      <c r="AM107" s="53" t="e">
        <f t="shared" si="105"/>
        <v>#DIV/0!</v>
      </c>
      <c r="AN107" s="53" t="e">
        <f t="shared" si="105"/>
        <v>#DIV/0!</v>
      </c>
      <c r="AO107" s="53">
        <f t="shared" si="105"/>
        <v>86.586299232690592</v>
      </c>
      <c r="AP107" s="53">
        <f t="shared" si="105"/>
        <v>97.44273292628246</v>
      </c>
      <c r="AQ107" s="53">
        <f t="shared" si="105"/>
        <v>111.91739898056554</v>
      </c>
      <c r="AR107" s="61">
        <f t="shared" si="105"/>
        <v>126.83875103978431</v>
      </c>
    </row>
    <row r="108" spans="5:44" x14ac:dyDescent="0.2">
      <c r="E108" s="19" t="s">
        <v>111</v>
      </c>
      <c r="F108" s="53">
        <f>SUM(F72:F74,F80)-SUM(F82:F84)</f>
        <v>676</v>
      </c>
      <c r="G108" s="53">
        <f t="shared" ref="G108:AR108" si="106">SUM(G72:G74,G80)-SUM(G82:G84)</f>
        <v>0</v>
      </c>
      <c r="H108" s="53">
        <f t="shared" si="106"/>
        <v>0</v>
      </c>
      <c r="I108" s="53">
        <f t="shared" si="106"/>
        <v>0</v>
      </c>
      <c r="J108" s="53">
        <f t="shared" si="106"/>
        <v>0</v>
      </c>
      <c r="K108" s="53">
        <f t="shared" si="106"/>
        <v>1054</v>
      </c>
      <c r="L108" s="53">
        <f t="shared" si="106"/>
        <v>0</v>
      </c>
      <c r="M108" s="53">
        <f t="shared" si="106"/>
        <v>0</v>
      </c>
      <c r="N108" s="53">
        <f t="shared" si="106"/>
        <v>0</v>
      </c>
      <c r="O108" s="53">
        <f t="shared" si="106"/>
        <v>0</v>
      </c>
      <c r="P108" s="53">
        <f t="shared" si="106"/>
        <v>1028</v>
      </c>
      <c r="Q108" s="53">
        <f t="shared" si="106"/>
        <v>0</v>
      </c>
      <c r="R108" s="53">
        <f t="shared" si="106"/>
        <v>0</v>
      </c>
      <c r="S108" s="53">
        <f t="shared" si="106"/>
        <v>0</v>
      </c>
      <c r="T108" s="53">
        <f t="shared" si="106"/>
        <v>0</v>
      </c>
      <c r="U108" s="53">
        <f t="shared" si="106"/>
        <v>970</v>
      </c>
      <c r="V108" s="53">
        <f t="shared" si="106"/>
        <v>0</v>
      </c>
      <c r="W108" s="53">
        <f t="shared" si="106"/>
        <v>0</v>
      </c>
      <c r="X108" s="53">
        <f t="shared" si="106"/>
        <v>0</v>
      </c>
      <c r="Y108" s="53">
        <f t="shared" si="106"/>
        <v>0</v>
      </c>
      <c r="Z108" s="53">
        <f t="shared" si="106"/>
        <v>1144.75</v>
      </c>
      <c r="AA108" s="53">
        <f t="shared" si="106"/>
        <v>-1045.3333333333333</v>
      </c>
      <c r="AB108" s="53">
        <f t="shared" si="106"/>
        <v>-1045.3333333333333</v>
      </c>
      <c r="AC108" s="53">
        <f t="shared" si="106"/>
        <v>-1045.3333333333333</v>
      </c>
      <c r="AD108" s="53">
        <f t="shared" si="106"/>
        <v>-1045.3333333333333</v>
      </c>
      <c r="AE108" s="53">
        <f t="shared" si="106"/>
        <v>1222.1875</v>
      </c>
      <c r="AF108" s="53">
        <f t="shared" si="106"/>
        <v>-1071.8958333333333</v>
      </c>
      <c r="AG108" s="53">
        <f t="shared" si="106"/>
        <v>-1066.5833333333333</v>
      </c>
      <c r="AH108" s="53">
        <f t="shared" si="106"/>
        <v>-1063.0416666666667</v>
      </c>
      <c r="AI108" s="53">
        <f t="shared" si="106"/>
        <v>-1060.5119047619048</v>
      </c>
      <c r="AJ108" s="53">
        <f t="shared" si="106"/>
        <v>1281.0755208333335</v>
      </c>
      <c r="AK108" s="53">
        <f t="shared" si="106"/>
        <v>-1057.9114583333335</v>
      </c>
      <c r="AL108" s="53">
        <f t="shared" si="106"/>
        <v>-1058.875</v>
      </c>
      <c r="AM108" s="53">
        <f t="shared" si="106"/>
        <v>-1059.2916666666667</v>
      </c>
      <c r="AN108" s="53">
        <f t="shared" si="106"/>
        <v>-1059.4025974025974</v>
      </c>
      <c r="AO108" s="53">
        <f t="shared" si="106"/>
        <v>1350.6372457837301</v>
      </c>
      <c r="AP108" s="53">
        <f t="shared" si="106"/>
        <v>1424.7279575892858</v>
      </c>
      <c r="AQ108" s="53">
        <f t="shared" si="106"/>
        <v>1494.4508070054944</v>
      </c>
      <c r="AR108" s="61">
        <f t="shared" si="106"/>
        <v>1564.1834874574829</v>
      </c>
    </row>
    <row r="109" spans="5:44" ht="17" thickBot="1" x14ac:dyDescent="0.25">
      <c r="E109" s="45" t="s">
        <v>112</v>
      </c>
      <c r="F109" s="62">
        <f>SUM(F72:F74,F76:F80)-SUM(F82:F84,F86:F87)</f>
        <v>6721</v>
      </c>
      <c r="G109" s="62">
        <f t="shared" ref="G109:AR109" si="107">SUM(G72:G74,G76:G80)-SUM(G82:G84,G86:G87)</f>
        <v>0</v>
      </c>
      <c r="H109" s="62">
        <f t="shared" si="107"/>
        <v>0</v>
      </c>
      <c r="I109" s="62">
        <f t="shared" si="107"/>
        <v>0</v>
      </c>
      <c r="J109" s="62">
        <f t="shared" si="107"/>
        <v>0</v>
      </c>
      <c r="K109" s="62">
        <f t="shared" si="107"/>
        <v>6586</v>
      </c>
      <c r="L109" s="62">
        <f t="shared" si="107"/>
        <v>0</v>
      </c>
      <c r="M109" s="62">
        <f t="shared" si="107"/>
        <v>0</v>
      </c>
      <c r="N109" s="62">
        <f t="shared" si="107"/>
        <v>0</v>
      </c>
      <c r="O109" s="62">
        <f t="shared" si="107"/>
        <v>0</v>
      </c>
      <c r="P109" s="62">
        <f t="shared" si="107"/>
        <v>6228</v>
      </c>
      <c r="Q109" s="62">
        <f t="shared" si="107"/>
        <v>0</v>
      </c>
      <c r="R109" s="62">
        <f t="shared" si="107"/>
        <v>0</v>
      </c>
      <c r="S109" s="62">
        <f t="shared" si="107"/>
        <v>0</v>
      </c>
      <c r="T109" s="62">
        <f t="shared" si="107"/>
        <v>0</v>
      </c>
      <c r="U109" s="62">
        <f t="shared" si="107"/>
        <v>6122</v>
      </c>
      <c r="V109" s="62">
        <f t="shared" si="107"/>
        <v>0</v>
      </c>
      <c r="W109" s="62">
        <f t="shared" si="107"/>
        <v>0</v>
      </c>
      <c r="X109" s="62">
        <f t="shared" si="107"/>
        <v>0</v>
      </c>
      <c r="Y109" s="62">
        <f t="shared" si="107"/>
        <v>0</v>
      </c>
      <c r="Z109" s="62">
        <f t="shared" si="107"/>
        <v>6145.0770000000002</v>
      </c>
      <c r="AA109" s="62">
        <f t="shared" si="107"/>
        <v>1944.6666666666663</v>
      </c>
      <c r="AB109" s="62">
        <f t="shared" si="107"/>
        <v>1944.6666666666663</v>
      </c>
      <c r="AC109" s="62">
        <f t="shared" si="107"/>
        <v>1944.6666666666663</v>
      </c>
      <c r="AD109" s="62">
        <f t="shared" si="107"/>
        <v>1944.6666666666663</v>
      </c>
      <c r="AE109" s="62">
        <f t="shared" si="107"/>
        <v>6109.067500000001</v>
      </c>
      <c r="AF109" s="62">
        <f t="shared" si="107"/>
        <v>1791.8541666666663</v>
      </c>
      <c r="AG109" s="62">
        <f t="shared" si="107"/>
        <v>1822.4166666666661</v>
      </c>
      <c r="AH109" s="62">
        <f t="shared" si="107"/>
        <v>1842.791666666667</v>
      </c>
      <c r="AI109" s="62">
        <f t="shared" si="107"/>
        <v>1857.3452380952383</v>
      </c>
      <c r="AJ109" s="62">
        <f t="shared" si="107"/>
        <v>5987.8112708333338</v>
      </c>
      <c r="AK109" s="62">
        <f t="shared" si="107"/>
        <v>1835.651041666667</v>
      </c>
      <c r="AL109" s="62">
        <f t="shared" si="107"/>
        <v>1834.1805555555559</v>
      </c>
      <c r="AM109" s="62">
        <f t="shared" si="107"/>
        <v>1835.0416666666677</v>
      </c>
      <c r="AN109" s="62">
        <f t="shared" si="107"/>
        <v>1837.0692640692648</v>
      </c>
      <c r="AO109" s="62">
        <f t="shared" si="107"/>
        <v>5698.297181299602</v>
      </c>
      <c r="AP109" s="62">
        <f t="shared" si="107"/>
        <v>5375.3714347718251</v>
      </c>
      <c r="AQ109" s="62">
        <f t="shared" si="107"/>
        <v>5028.7221363705739</v>
      </c>
      <c r="AR109" s="63">
        <f t="shared" si="107"/>
        <v>4712.3699599631527</v>
      </c>
    </row>
    <row r="110" spans="5:44" x14ac:dyDescent="0.2">
      <c r="E110" s="52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4"/>
      <c r="AI110" s="54"/>
      <c r="AJ110" s="53"/>
      <c r="AK110" s="54"/>
      <c r="AL110" s="54"/>
      <c r="AM110" s="54"/>
      <c r="AN110" s="54"/>
      <c r="AO110" s="53"/>
    </row>
    <row r="111" spans="5:44" x14ac:dyDescent="0.2">
      <c r="E111" s="52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4"/>
      <c r="AI111" s="54"/>
      <c r="AJ111" s="53"/>
      <c r="AK111" s="54"/>
      <c r="AL111" s="54"/>
      <c r="AM111" s="54"/>
      <c r="AN111" s="54"/>
      <c r="AO111" s="53"/>
    </row>
    <row r="112" spans="5:44" x14ac:dyDescent="0.2">
      <c r="E112" s="52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4"/>
      <c r="AI112" s="54"/>
      <c r="AJ112" s="53"/>
      <c r="AK112" s="54"/>
      <c r="AL112" s="54"/>
      <c r="AM112" s="54"/>
      <c r="AN112" s="54"/>
      <c r="AO112" s="53"/>
    </row>
    <row r="113" spans="5:41" x14ac:dyDescent="0.2">
      <c r="E113" s="52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4"/>
      <c r="AI113" s="54"/>
      <c r="AJ113" s="53"/>
      <c r="AK113" s="54"/>
      <c r="AL113" s="54"/>
      <c r="AM113" s="54"/>
      <c r="AN113" s="54"/>
      <c r="AO113" s="53"/>
    </row>
    <row r="114" spans="5:41" x14ac:dyDescent="0.2">
      <c r="E114" s="52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4"/>
      <c r="AI114" s="54"/>
      <c r="AJ114" s="53"/>
      <c r="AK114" s="54"/>
      <c r="AL114" s="54"/>
      <c r="AM114" s="54"/>
      <c r="AN114" s="54"/>
      <c r="AO114" s="53"/>
    </row>
    <row r="115" spans="5:41" x14ac:dyDescent="0.2"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5"/>
      <c r="AI115" s="55"/>
      <c r="AJ115" s="52"/>
      <c r="AK115" s="55"/>
      <c r="AL115" s="55"/>
      <c r="AM115" s="55"/>
      <c r="AN115" s="55"/>
      <c r="AO115" s="52"/>
    </row>
    <row r="116" spans="5:41" x14ac:dyDescent="0.2"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52"/>
      <c r="AJ116" s="52"/>
      <c r="AK116" s="52"/>
      <c r="AL116" s="52"/>
      <c r="AM116" s="52"/>
      <c r="AN116" s="52"/>
      <c r="AO116" s="52"/>
    </row>
    <row r="117" spans="5:41" x14ac:dyDescent="0.2"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5"/>
      <c r="AI117" s="55"/>
      <c r="AJ117" s="52"/>
      <c r="AK117" s="55"/>
      <c r="AL117" s="55"/>
      <c r="AM117" s="55"/>
      <c r="AN117" s="55"/>
      <c r="AO117" s="52"/>
    </row>
    <row r="118" spans="5:41" x14ac:dyDescent="0.2"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52"/>
      <c r="AJ118" s="52"/>
      <c r="AK118" s="52"/>
      <c r="AL118" s="52"/>
      <c r="AM118" s="52"/>
      <c r="AN118" s="52"/>
      <c r="AO118" s="52"/>
    </row>
    <row r="119" spans="5:41" x14ac:dyDescent="0.2"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/>
      <c r="AO119" s="52"/>
    </row>
    <row r="120" spans="5:41" x14ac:dyDescent="0.2"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52"/>
      <c r="AJ120" s="52"/>
      <c r="AK120" s="52"/>
      <c r="AL120" s="52"/>
      <c r="AM120" s="52"/>
      <c r="AN120" s="52"/>
      <c r="AO120" s="52"/>
    </row>
    <row r="121" spans="5:41" x14ac:dyDescent="0.2"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52"/>
      <c r="AK121" s="52"/>
      <c r="AL121" s="52"/>
      <c r="AM121" s="52"/>
      <c r="AN121" s="52"/>
      <c r="AO121" s="52"/>
    </row>
    <row r="122" spans="5:41" x14ac:dyDescent="0.2">
      <c r="E122" s="52"/>
      <c r="F122" s="56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52"/>
      <c r="AK122" s="52"/>
      <c r="AL122" s="52"/>
      <c r="AM122" s="52"/>
      <c r="AN122" s="52"/>
      <c r="AO122" s="52"/>
    </row>
    <row r="123" spans="5:41" x14ac:dyDescent="0.2"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  <c r="AK123" s="52"/>
      <c r="AL123" s="52"/>
      <c r="AM123" s="52"/>
      <c r="AN123" s="52"/>
      <c r="AO123" s="52"/>
    </row>
    <row r="124" spans="5:41" x14ac:dyDescent="0.2"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52"/>
      <c r="AJ124" s="52"/>
      <c r="AK124" s="52"/>
      <c r="AL124" s="52"/>
      <c r="AM124" s="52"/>
      <c r="AN124" s="52"/>
      <c r="AO124" s="52"/>
    </row>
    <row r="125" spans="5:41" x14ac:dyDescent="0.2">
      <c r="E125" s="52"/>
      <c r="F125" s="56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5"/>
      <c r="AI125" s="55"/>
      <c r="AJ125" s="52"/>
      <c r="AK125" s="55"/>
      <c r="AL125" s="55"/>
      <c r="AM125" s="55"/>
      <c r="AN125" s="55"/>
      <c r="AO125" s="52"/>
    </row>
    <row r="126" spans="5:41" x14ac:dyDescent="0.2"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52"/>
      <c r="AK126" s="52"/>
      <c r="AL126" s="52"/>
      <c r="AM126" s="52"/>
      <c r="AN126" s="52"/>
      <c r="AO126" s="52"/>
    </row>
    <row r="127" spans="5:41" x14ac:dyDescent="0.2">
      <c r="E127" s="52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  <c r="AH127" s="58"/>
      <c r="AI127" s="58"/>
      <c r="AJ127" s="57"/>
      <c r="AK127" s="58"/>
      <c r="AL127" s="58"/>
      <c r="AM127" s="58"/>
      <c r="AN127" s="58"/>
      <c r="AO127" s="57"/>
    </row>
    <row r="128" spans="5:41" x14ac:dyDescent="0.2">
      <c r="E128" s="50"/>
      <c r="F128" s="59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  <c r="AH128" s="60"/>
      <c r="AI128" s="60"/>
      <c r="AJ128" s="50"/>
      <c r="AK128" s="60"/>
      <c r="AL128" s="60"/>
      <c r="AM128" s="60"/>
      <c r="AN128" s="60"/>
      <c r="AO128" s="50"/>
    </row>
    <row r="129" spans="5:41" x14ac:dyDescent="0.2">
      <c r="E129" s="52"/>
      <c r="F129" s="56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52"/>
      <c r="AK129" s="52"/>
      <c r="AL129" s="52"/>
      <c r="AM129" s="52"/>
      <c r="AN129" s="52"/>
      <c r="AO129" s="52"/>
    </row>
  </sheetData>
  <mergeCells count="1">
    <mergeCell ref="A5:D5"/>
  </mergeCells>
  <pageMargins left="0.7" right="0.7" top="0.75" bottom="0.75" header="0.3" footer="0.3"/>
  <ignoredErrors>
    <ignoredError sqref="K3 P3 U3 Z3 K8 P8 U8 Z8 AE8 AJ8 AO8 Z20" formula="1"/>
    <ignoredError sqref="F108:F109 K108:K109 P108:P109 U108:U109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54B2D-0003-F74A-BB13-BF216B870509}">
  <dimension ref="A1:AR32"/>
  <sheetViews>
    <sheetView showGridLines="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Z10" sqref="Z10"/>
    </sheetView>
  </sheetViews>
  <sheetFormatPr baseColWidth="10" defaultRowHeight="16" outlineLevelRow="1" outlineLevelCol="1" x14ac:dyDescent="0.2"/>
  <cols>
    <col min="5" max="5" width="38.33203125" customWidth="1"/>
    <col min="7" max="10" width="10.83203125" hidden="1" customWidth="1" outlineLevel="1"/>
    <col min="11" max="11" width="10.83203125" collapsed="1"/>
    <col min="12" max="15" width="10.83203125" hidden="1" customWidth="1" outlineLevel="1"/>
    <col min="16" max="16" width="10.83203125" collapsed="1"/>
    <col min="17" max="20" width="0" hidden="1" customWidth="1" outlineLevel="1"/>
    <col min="21" max="21" width="10.83203125" collapsed="1"/>
    <col min="22" max="25" width="10.83203125" hidden="1" customWidth="1" outlineLevel="1"/>
    <col min="26" max="26" width="10.83203125" collapsed="1"/>
    <col min="27" max="30" width="0" hidden="1" customWidth="1" outlineLevel="1"/>
    <col min="31" max="31" width="10.83203125" collapsed="1"/>
    <col min="32" max="35" width="10.83203125" hidden="1" customWidth="1" outlineLevel="1"/>
    <col min="36" max="36" width="10.83203125" collapsed="1"/>
    <col min="37" max="40" width="0" hidden="1" customWidth="1" outlineLevel="1"/>
    <col min="41" max="41" width="10.83203125" collapsed="1"/>
  </cols>
  <sheetData>
    <row r="1" spans="1:44" ht="17" thickBo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4" ht="17" thickBot="1" x14ac:dyDescent="0.25">
      <c r="A2" s="2"/>
      <c r="B2" s="140" t="s">
        <v>15</v>
      </c>
      <c r="C2" s="2"/>
      <c r="D2" s="2"/>
      <c r="E2" s="126" t="s">
        <v>1</v>
      </c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37"/>
      <c r="AF2" s="137"/>
      <c r="AG2" s="137"/>
      <c r="AH2" s="137"/>
      <c r="AI2" s="137"/>
      <c r="AJ2" s="137"/>
      <c r="AK2" s="128"/>
      <c r="AL2" s="128"/>
      <c r="AM2" s="128"/>
      <c r="AN2" s="128"/>
      <c r="AO2" s="128"/>
      <c r="AP2" s="128"/>
      <c r="AQ2" s="128"/>
      <c r="AR2" s="129"/>
    </row>
    <row r="3" spans="1:44" ht="17" outlineLevel="1" thickBot="1" x14ac:dyDescent="0.25">
      <c r="A3" s="2"/>
      <c r="B3" s="6">
        <v>1</v>
      </c>
      <c r="C3" s="2"/>
      <c r="D3" s="2"/>
      <c r="E3" s="7" t="s">
        <v>26</v>
      </c>
      <c r="F3" s="90">
        <v>44979</v>
      </c>
      <c r="G3" s="91">
        <f t="shared" ref="G3:J3" si="0">EOMONTH(F3,3)</f>
        <v>45077</v>
      </c>
      <c r="H3" s="91">
        <f t="shared" si="0"/>
        <v>45169</v>
      </c>
      <c r="I3" s="91">
        <f t="shared" si="0"/>
        <v>45260</v>
      </c>
      <c r="J3" s="91">
        <f t="shared" si="0"/>
        <v>45351</v>
      </c>
      <c r="K3" s="91">
        <f>J3</f>
        <v>45351</v>
      </c>
      <c r="L3" s="91">
        <f t="shared" ref="L3:O3" si="1">EOMONTH(K3,3)</f>
        <v>45443</v>
      </c>
      <c r="M3" s="91">
        <f t="shared" si="1"/>
        <v>45535</v>
      </c>
      <c r="N3" s="91">
        <f t="shared" si="1"/>
        <v>45626</v>
      </c>
      <c r="O3" s="91">
        <f t="shared" si="1"/>
        <v>45716</v>
      </c>
      <c r="P3" s="91">
        <f>O3</f>
        <v>45716</v>
      </c>
      <c r="Q3" s="91">
        <f t="shared" ref="Q3:T3" si="2">EOMONTH(P3,3)</f>
        <v>45808</v>
      </c>
      <c r="R3" s="91">
        <f t="shared" si="2"/>
        <v>45900</v>
      </c>
      <c r="S3" s="91">
        <f t="shared" si="2"/>
        <v>45991</v>
      </c>
      <c r="T3" s="91">
        <f t="shared" si="2"/>
        <v>46081</v>
      </c>
      <c r="U3" s="91">
        <f>T3</f>
        <v>46081</v>
      </c>
      <c r="V3" s="91">
        <f t="shared" ref="V3:Y3" si="3">EOMONTH(U3,3)</f>
        <v>46173</v>
      </c>
      <c r="W3" s="91">
        <f t="shared" si="3"/>
        <v>46265</v>
      </c>
      <c r="X3" s="91">
        <f t="shared" si="3"/>
        <v>46356</v>
      </c>
      <c r="Y3" s="91">
        <f t="shared" si="3"/>
        <v>46446</v>
      </c>
      <c r="Z3" s="92">
        <f>Y3</f>
        <v>46446</v>
      </c>
      <c r="AA3" s="92">
        <f t="shared" ref="AA3:AD3" si="4">EOMONTH(Z3,3)</f>
        <v>46538</v>
      </c>
      <c r="AB3" s="92">
        <f t="shared" si="4"/>
        <v>46630</v>
      </c>
      <c r="AC3" s="92">
        <f t="shared" si="4"/>
        <v>46721</v>
      </c>
      <c r="AD3" s="92">
        <f t="shared" si="4"/>
        <v>46812</v>
      </c>
      <c r="AE3" s="92">
        <f>AD3</f>
        <v>46812</v>
      </c>
      <c r="AF3" s="91">
        <f t="shared" ref="AF3:AI3" si="5">EOMONTH(AE3,3)</f>
        <v>46904</v>
      </c>
      <c r="AG3" s="91">
        <f t="shared" si="5"/>
        <v>46996</v>
      </c>
      <c r="AH3" s="94">
        <f t="shared" si="5"/>
        <v>47087</v>
      </c>
      <c r="AI3" s="94">
        <f t="shared" si="5"/>
        <v>47177</v>
      </c>
      <c r="AJ3" s="94">
        <f>AI3</f>
        <v>47177</v>
      </c>
      <c r="AK3" s="94">
        <f t="shared" ref="AK3:AN3" si="6">EOMONTH(AJ3,3)</f>
        <v>47269</v>
      </c>
      <c r="AL3" s="94">
        <f t="shared" si="6"/>
        <v>47361</v>
      </c>
      <c r="AM3" s="94">
        <f t="shared" si="6"/>
        <v>47452</v>
      </c>
      <c r="AN3" s="94">
        <f t="shared" si="6"/>
        <v>47542</v>
      </c>
      <c r="AO3" s="94">
        <f>AN3</f>
        <v>47542</v>
      </c>
      <c r="AP3" s="94">
        <v>47999</v>
      </c>
      <c r="AQ3" s="94">
        <v>48335</v>
      </c>
      <c r="AR3" s="79">
        <v>48335</v>
      </c>
    </row>
    <row r="4" spans="1:44" outlineLevel="1" x14ac:dyDescent="0.2">
      <c r="A4" s="2"/>
      <c r="B4" s="2"/>
      <c r="C4" s="2"/>
      <c r="D4" s="2"/>
      <c r="E4" s="11" t="s">
        <v>3</v>
      </c>
      <c r="F4" s="121" t="str">
        <f>YEAR(F3)-1&amp;"A"</f>
        <v>2022A</v>
      </c>
      <c r="G4" s="121" t="str">
        <f>"Q1 "&amp; YEAR(G3)</f>
        <v>Q1 2023</v>
      </c>
      <c r="H4" s="121" t="str">
        <f>"Q2 "&amp; YEAR(H3)</f>
        <v>Q2 2023</v>
      </c>
      <c r="I4" s="121" t="str">
        <f>"Q3 "&amp; YEAR(I3)</f>
        <v>Q3 2023</v>
      </c>
      <c r="J4" s="121" t="str">
        <f>"Q4 "&amp; YEAR(J3)-1</f>
        <v>Q4 2023</v>
      </c>
      <c r="K4" s="121" t="str">
        <f>YEAR(K3)-1&amp;"A"</f>
        <v>2023A</v>
      </c>
      <c r="L4" s="121" t="str">
        <f>"Q1 "&amp; YEAR(L3)</f>
        <v>Q1 2024</v>
      </c>
      <c r="M4" s="121" t="str">
        <f>"Q2 "&amp; YEAR(M3)</f>
        <v>Q2 2024</v>
      </c>
      <c r="N4" s="121" t="str">
        <f>"Q3 "&amp; YEAR(N3)</f>
        <v>Q3 2024</v>
      </c>
      <c r="O4" s="121" t="str">
        <f>"Q4 "&amp; YEAR(O3)-1</f>
        <v>Q4 2024</v>
      </c>
      <c r="P4" s="121" t="str">
        <f>YEAR(P3)-1&amp;"A"</f>
        <v>2024A</v>
      </c>
      <c r="Q4" s="121" t="str">
        <f>"Q1 "&amp; YEAR(Q3)</f>
        <v>Q1 2025</v>
      </c>
      <c r="R4" s="121" t="str">
        <f>"Q2 "&amp; YEAR(R3)</f>
        <v>Q2 2025</v>
      </c>
      <c r="S4" s="121" t="str">
        <f>"Q3 "&amp; YEAR(S3)</f>
        <v>Q3 2025</v>
      </c>
      <c r="T4" s="121" t="str">
        <f>"Q4 "&amp; YEAR(T3)-1</f>
        <v>Q4 2025</v>
      </c>
      <c r="U4" s="121" t="str">
        <f>YEAR(U3)-1&amp;"A"</f>
        <v>2025A</v>
      </c>
      <c r="V4" s="121" t="str">
        <f>"Q1 "&amp; YEAR(V3)</f>
        <v>Q1 2026</v>
      </c>
      <c r="W4" s="121" t="str">
        <f>"Q2 "&amp; YEAR(W3)</f>
        <v>Q2 2026</v>
      </c>
      <c r="X4" s="121" t="str">
        <f>"Q3 "&amp; YEAR(X3)</f>
        <v>Q3 2026</v>
      </c>
      <c r="Y4" s="121" t="str">
        <f>"Q4 "&amp; YEAR(Y3)-1</f>
        <v>Q4 2026</v>
      </c>
      <c r="Z4" s="122" t="str">
        <f>YEAR(Z3)-1&amp;"A"</f>
        <v>2026A</v>
      </c>
      <c r="AA4" s="122" t="str">
        <f>"Q1 "&amp; YEAR(AA3)</f>
        <v>Q1 2027</v>
      </c>
      <c r="AB4" s="122" t="str">
        <f>"Q2 "&amp; YEAR(AB3)</f>
        <v>Q2 2027</v>
      </c>
      <c r="AC4" s="122" t="str">
        <f>"Q3 "&amp; YEAR(AC3)</f>
        <v>Q3 2027</v>
      </c>
      <c r="AD4" s="122" t="str">
        <f>"Q4 "&amp; YEAR(AD3)-1</f>
        <v>Q4 2027</v>
      </c>
      <c r="AE4" s="122" t="str">
        <f>YEAR(AE3)-1&amp;"A"</f>
        <v>2027A</v>
      </c>
      <c r="AF4" s="121" t="str">
        <f>"Q1 "&amp; YEAR(AF3)</f>
        <v>Q1 2028</v>
      </c>
      <c r="AG4" s="121" t="str">
        <f>"Q2 "&amp; YEAR(AG3)</f>
        <v>Q2 2028</v>
      </c>
      <c r="AH4" s="123" t="str">
        <f>"Q3 "&amp; YEAR(AH3)</f>
        <v>Q3 2028</v>
      </c>
      <c r="AI4" s="123" t="str">
        <f>"Q4 "&amp; YEAR(AI3)-1</f>
        <v>Q4 2028</v>
      </c>
      <c r="AJ4" s="123" t="str">
        <f>YEAR(AJ3)-1&amp;"E"</f>
        <v>2028E</v>
      </c>
      <c r="AK4" s="123" t="str">
        <f>"Q1 "&amp; YEAR(AK3)</f>
        <v>Q1 2029</v>
      </c>
      <c r="AL4" s="123" t="str">
        <f>"Q2 "&amp; YEAR(AL3)</f>
        <v>Q2 2029</v>
      </c>
      <c r="AM4" s="123" t="str">
        <f>"Q3 "&amp; YEAR(AM3)</f>
        <v>Q3 2029</v>
      </c>
      <c r="AN4" s="123" t="str">
        <f>"Q4 "&amp; YEAR(AN3)-1</f>
        <v>Q4 2029</v>
      </c>
      <c r="AO4" s="123" t="str">
        <f>YEAR(AO3)-1&amp;"E"</f>
        <v>2029E</v>
      </c>
      <c r="AP4" s="123" t="str">
        <f>YEAR(AP3)-1&amp;"E"</f>
        <v>2030E</v>
      </c>
      <c r="AQ4" s="123" t="str">
        <f t="shared" ref="AQ4:AR4" si="7">YEAR(AQ3)-1&amp;"E"</f>
        <v>2031E</v>
      </c>
      <c r="AR4" s="80" t="str">
        <f t="shared" si="7"/>
        <v>2031E</v>
      </c>
    </row>
    <row r="5" spans="1:44" x14ac:dyDescent="0.2">
      <c r="A5" s="2"/>
      <c r="B5" s="2"/>
      <c r="C5" s="2"/>
      <c r="D5" s="2"/>
      <c r="E5" s="130" t="s">
        <v>0</v>
      </c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31"/>
      <c r="AI5" s="131"/>
      <c r="AJ5" s="131"/>
      <c r="AK5" s="131"/>
      <c r="AL5" s="131"/>
      <c r="AM5" s="131"/>
      <c r="AN5" s="131"/>
      <c r="AO5" s="131"/>
      <c r="AP5" s="131"/>
      <c r="AQ5" s="131"/>
      <c r="AR5" s="132"/>
    </row>
    <row r="6" spans="1:44" x14ac:dyDescent="0.2">
      <c r="A6" s="2"/>
      <c r="B6" s="2" t="s">
        <v>19</v>
      </c>
      <c r="C6" s="2"/>
      <c r="D6" s="2"/>
      <c r="E6" s="8" t="s">
        <v>4</v>
      </c>
      <c r="F6" s="9">
        <f t="shared" ref="F6:AR6" si="8">SUM(F8,F13,F18)</f>
        <v>3768</v>
      </c>
      <c r="G6" s="9">
        <f t="shared" si="8"/>
        <v>0</v>
      </c>
      <c r="H6" s="9">
        <f t="shared" si="8"/>
        <v>0</v>
      </c>
      <c r="I6" s="9">
        <f t="shared" si="8"/>
        <v>0</v>
      </c>
      <c r="J6" s="9">
        <f t="shared" si="8"/>
        <v>0</v>
      </c>
      <c r="K6" s="9">
        <f t="shared" si="8"/>
        <v>4146</v>
      </c>
      <c r="L6" s="9">
        <f t="shared" si="8"/>
        <v>0</v>
      </c>
      <c r="M6" s="9">
        <f t="shared" si="8"/>
        <v>0</v>
      </c>
      <c r="N6" s="9">
        <f t="shared" si="8"/>
        <v>0</v>
      </c>
      <c r="O6" s="9">
        <f t="shared" si="8"/>
        <v>0</v>
      </c>
      <c r="P6" s="9">
        <f t="shared" si="8"/>
        <v>4791</v>
      </c>
      <c r="Q6" s="9">
        <f t="shared" si="8"/>
        <v>0</v>
      </c>
      <c r="R6" s="9">
        <f t="shared" si="8"/>
        <v>0</v>
      </c>
      <c r="S6" s="9">
        <f t="shared" si="8"/>
        <v>0</v>
      </c>
      <c r="T6" s="9">
        <f t="shared" si="8"/>
        <v>0</v>
      </c>
      <c r="U6" s="9">
        <f t="shared" si="8"/>
        <v>5101</v>
      </c>
      <c r="V6" s="9">
        <f t="shared" si="8"/>
        <v>0</v>
      </c>
      <c r="W6" s="9">
        <f t="shared" si="8"/>
        <v>0</v>
      </c>
      <c r="X6" s="9">
        <f t="shared" si="8"/>
        <v>0</v>
      </c>
      <c r="Y6" s="9">
        <f t="shared" si="8"/>
        <v>0</v>
      </c>
      <c r="Z6" s="9">
        <f t="shared" si="8"/>
        <v>5458.0467299182856</v>
      </c>
      <c r="AA6" s="9">
        <f t="shared" si="8"/>
        <v>0</v>
      </c>
      <c r="AB6" s="9">
        <f t="shared" si="8"/>
        <v>0</v>
      </c>
      <c r="AC6" s="9">
        <f t="shared" si="8"/>
        <v>0</v>
      </c>
      <c r="AD6" s="9">
        <f t="shared" si="8"/>
        <v>0</v>
      </c>
      <c r="AE6" s="9">
        <f t="shared" si="8"/>
        <v>5726.9576018981543</v>
      </c>
      <c r="AF6" s="9">
        <f t="shared" si="8"/>
        <v>0</v>
      </c>
      <c r="AG6" s="9">
        <f t="shared" si="8"/>
        <v>0</v>
      </c>
      <c r="AH6" s="9">
        <f t="shared" si="8"/>
        <v>0</v>
      </c>
      <c r="AI6" s="9">
        <f t="shared" si="8"/>
        <v>0</v>
      </c>
      <c r="AJ6" s="9">
        <f t="shared" si="8"/>
        <v>6009.3467376060526</v>
      </c>
      <c r="AK6" s="9">
        <f t="shared" si="8"/>
        <v>0</v>
      </c>
      <c r="AL6" s="9">
        <f t="shared" si="8"/>
        <v>0</v>
      </c>
      <c r="AM6" s="9">
        <f t="shared" si="8"/>
        <v>0</v>
      </c>
      <c r="AN6" s="9">
        <f t="shared" si="8"/>
        <v>0</v>
      </c>
      <c r="AO6" s="9">
        <f t="shared" si="8"/>
        <v>6305.9009017561257</v>
      </c>
      <c r="AP6" s="9">
        <f t="shared" si="8"/>
        <v>6491.2243858875672</v>
      </c>
      <c r="AQ6" s="9">
        <f t="shared" si="8"/>
        <v>6682.2596298058143</v>
      </c>
      <c r="AR6" s="10">
        <f t="shared" si="8"/>
        <v>6879.1901924545782</v>
      </c>
    </row>
    <row r="7" spans="1:44" x14ac:dyDescent="0.2">
      <c r="A7" s="2"/>
      <c r="B7" s="2" t="s">
        <v>20</v>
      </c>
      <c r="C7" s="2"/>
      <c r="D7" s="2"/>
      <c r="E7" s="7" t="s">
        <v>18</v>
      </c>
      <c r="F7" s="95" t="s">
        <v>12</v>
      </c>
      <c r="G7" s="2"/>
      <c r="H7" s="2"/>
      <c r="I7" s="2"/>
      <c r="J7" s="2"/>
      <c r="K7" s="17">
        <f>K6/F6-1</f>
        <v>0.10031847133757954</v>
      </c>
      <c r="L7" s="17" t="e">
        <f t="shared" ref="L7:T7" si="9">L6/G6-1</f>
        <v>#DIV/0!</v>
      </c>
      <c r="M7" s="17" t="e">
        <f t="shared" si="9"/>
        <v>#DIV/0!</v>
      </c>
      <c r="N7" s="17" t="e">
        <f t="shared" si="9"/>
        <v>#DIV/0!</v>
      </c>
      <c r="O7" s="17" t="e">
        <f t="shared" si="9"/>
        <v>#DIV/0!</v>
      </c>
      <c r="P7" s="17">
        <f t="shared" si="9"/>
        <v>0.15557163531114337</v>
      </c>
      <c r="Q7" s="17" t="e">
        <f t="shared" si="9"/>
        <v>#DIV/0!</v>
      </c>
      <c r="R7" s="17" t="e">
        <f t="shared" si="9"/>
        <v>#DIV/0!</v>
      </c>
      <c r="S7" s="17" t="e">
        <f t="shared" si="9"/>
        <v>#DIV/0!</v>
      </c>
      <c r="T7" s="17" t="e">
        <f t="shared" si="9"/>
        <v>#DIV/0!</v>
      </c>
      <c r="U7" s="17">
        <f>U6/P6-1</f>
        <v>6.4704654560634456E-2</v>
      </c>
      <c r="V7" s="17" t="e">
        <f t="shared" ref="V7:AN7" si="10">V6/Q6-1</f>
        <v>#DIV/0!</v>
      </c>
      <c r="W7" s="17" t="e">
        <f t="shared" si="10"/>
        <v>#DIV/0!</v>
      </c>
      <c r="X7" s="17" t="e">
        <f t="shared" si="10"/>
        <v>#DIV/0!</v>
      </c>
      <c r="Y7" s="17" t="e">
        <f t="shared" si="10"/>
        <v>#DIV/0!</v>
      </c>
      <c r="Z7" s="17">
        <f t="shared" si="10"/>
        <v>6.9995438133363175E-2</v>
      </c>
      <c r="AA7" s="17" t="e">
        <f t="shared" si="10"/>
        <v>#DIV/0!</v>
      </c>
      <c r="AB7" s="17" t="e">
        <f t="shared" si="10"/>
        <v>#DIV/0!</v>
      </c>
      <c r="AC7" s="17" t="e">
        <f t="shared" si="10"/>
        <v>#DIV/0!</v>
      </c>
      <c r="AD7" s="17" t="e">
        <f t="shared" si="10"/>
        <v>#DIV/0!</v>
      </c>
      <c r="AE7" s="17">
        <f t="shared" si="10"/>
        <v>4.92687009266215E-2</v>
      </c>
      <c r="AF7" s="17" t="e">
        <f t="shared" si="10"/>
        <v>#DIV/0!</v>
      </c>
      <c r="AG7" s="17" t="e">
        <f t="shared" si="10"/>
        <v>#DIV/0!</v>
      </c>
      <c r="AH7" s="17" t="e">
        <f t="shared" si="10"/>
        <v>#DIV/0!</v>
      </c>
      <c r="AI7" s="17" t="e">
        <f t="shared" si="10"/>
        <v>#DIV/0!</v>
      </c>
      <c r="AJ7" s="17">
        <f t="shared" si="10"/>
        <v>4.9308752628848262E-2</v>
      </c>
      <c r="AK7" s="17" t="e">
        <f t="shared" si="10"/>
        <v>#DIV/0!</v>
      </c>
      <c r="AL7" s="17" t="e">
        <f t="shared" si="10"/>
        <v>#DIV/0!</v>
      </c>
      <c r="AM7" s="17" t="e">
        <f t="shared" si="10"/>
        <v>#DIV/0!</v>
      </c>
      <c r="AN7" s="17" t="e">
        <f t="shared" si="10"/>
        <v>#DIV/0!</v>
      </c>
      <c r="AO7" s="17">
        <f>AO6/AJ6-1</f>
        <v>4.9348818948032891E-2</v>
      </c>
      <c r="AP7" s="17">
        <f>AP6/AO6-1</f>
        <v>2.9388898908929928E-2</v>
      </c>
      <c r="AQ7" s="17">
        <f t="shared" ref="AQ7:AR7" si="11">AQ6/AP6-1</f>
        <v>2.9429770496544938E-2</v>
      </c>
      <c r="AR7" s="18">
        <f t="shared" si="11"/>
        <v>2.9470654173681998E-2</v>
      </c>
    </row>
    <row r="8" spans="1:44" x14ac:dyDescent="0.2">
      <c r="A8" s="2"/>
      <c r="B8" s="2" t="s">
        <v>21</v>
      </c>
      <c r="C8" s="2"/>
      <c r="D8" s="2"/>
      <c r="E8" s="7" t="s">
        <v>5</v>
      </c>
      <c r="F8" s="12">
        <v>2369</v>
      </c>
      <c r="G8" s="12"/>
      <c r="H8" s="12"/>
      <c r="I8" s="12"/>
      <c r="J8" s="12"/>
      <c r="K8" s="12">
        <v>2543</v>
      </c>
      <c r="L8" s="12"/>
      <c r="M8" s="12"/>
      <c r="N8" s="12"/>
      <c r="O8" s="12"/>
      <c r="P8" s="12">
        <v>2739</v>
      </c>
      <c r="Q8" s="13"/>
      <c r="R8" s="13"/>
      <c r="S8" s="13"/>
      <c r="T8" s="13"/>
      <c r="U8" s="13">
        <v>2923</v>
      </c>
      <c r="V8" s="14"/>
      <c r="W8" s="14"/>
      <c r="X8" s="14"/>
      <c r="Y8" s="14"/>
      <c r="Z8" s="14">
        <f>U8*(1+Z9)</f>
        <v>3135.1131815228919</v>
      </c>
      <c r="AA8" s="14">
        <f t="shared" ref="AA8:AN8" si="12">V8*(1+AA9)</f>
        <v>0</v>
      </c>
      <c r="AB8" s="14">
        <f t="shared" si="12"/>
        <v>0</v>
      </c>
      <c r="AC8" s="14">
        <f t="shared" si="12"/>
        <v>0</v>
      </c>
      <c r="AD8" s="14">
        <f t="shared" si="12"/>
        <v>0</v>
      </c>
      <c r="AE8" s="14">
        <f>Z8*(1+AE9)</f>
        <v>3291.8688405990365</v>
      </c>
      <c r="AF8" s="14">
        <f t="shared" si="12"/>
        <v>0</v>
      </c>
      <c r="AG8" s="14">
        <f t="shared" si="12"/>
        <v>0</v>
      </c>
      <c r="AH8" s="14">
        <f t="shared" si="12"/>
        <v>0</v>
      </c>
      <c r="AI8" s="14">
        <f t="shared" si="12"/>
        <v>0</v>
      </c>
      <c r="AJ8" s="14">
        <f t="shared" si="12"/>
        <v>3456.4622826289883</v>
      </c>
      <c r="AK8" s="14">
        <f t="shared" si="12"/>
        <v>0</v>
      </c>
      <c r="AL8" s="14">
        <f t="shared" si="12"/>
        <v>0</v>
      </c>
      <c r="AM8" s="14">
        <f t="shared" si="12"/>
        <v>0</v>
      </c>
      <c r="AN8" s="14">
        <f t="shared" si="12"/>
        <v>0</v>
      </c>
      <c r="AO8" s="14">
        <f>AJ8*(1+AO9)</f>
        <v>3629.2853967604378</v>
      </c>
      <c r="AP8" s="14">
        <f>AO8*(1+AP9)</f>
        <v>3738.1639586632509</v>
      </c>
      <c r="AQ8" s="14">
        <f t="shared" ref="AQ8:AR8" si="13">AP8*(1+AQ9)</f>
        <v>3850.3088774231487</v>
      </c>
      <c r="AR8" s="15">
        <f t="shared" si="13"/>
        <v>3965.8181437458434</v>
      </c>
    </row>
    <row r="9" spans="1:44" x14ac:dyDescent="0.2">
      <c r="A9" s="2"/>
      <c r="B9" s="2"/>
      <c r="C9" s="2"/>
      <c r="D9" s="2"/>
      <c r="E9" s="16" t="s">
        <v>9</v>
      </c>
      <c r="F9" s="95" t="s">
        <v>12</v>
      </c>
      <c r="G9" s="2"/>
      <c r="H9" s="2"/>
      <c r="I9" s="2"/>
      <c r="J9" s="2"/>
      <c r="K9" s="17">
        <f>K8/F8-1</f>
        <v>7.3448712536935412E-2</v>
      </c>
      <c r="L9" s="17" t="e">
        <f t="shared" ref="L9:Y9" si="14">L8/G8-1</f>
        <v>#DIV/0!</v>
      </c>
      <c r="M9" s="17" t="e">
        <f t="shared" si="14"/>
        <v>#DIV/0!</v>
      </c>
      <c r="N9" s="17" t="e">
        <f t="shared" si="14"/>
        <v>#DIV/0!</v>
      </c>
      <c r="O9" s="17" t="e">
        <f t="shared" si="14"/>
        <v>#DIV/0!</v>
      </c>
      <c r="P9" s="17">
        <f t="shared" si="14"/>
        <v>7.7074321667321977E-2</v>
      </c>
      <c r="Q9" s="17" t="e">
        <f t="shared" si="14"/>
        <v>#DIV/0!</v>
      </c>
      <c r="R9" s="17" t="e">
        <f t="shared" si="14"/>
        <v>#DIV/0!</v>
      </c>
      <c r="S9" s="17" t="e">
        <f t="shared" si="14"/>
        <v>#DIV/0!</v>
      </c>
      <c r="T9" s="17" t="e">
        <f t="shared" si="14"/>
        <v>#DIV/0!</v>
      </c>
      <c r="U9" s="17">
        <f t="shared" si="14"/>
        <v>6.7177802117561081E-2</v>
      </c>
      <c r="V9" s="17" t="e">
        <f t="shared" si="14"/>
        <v>#DIV/0!</v>
      </c>
      <c r="W9" s="17" t="e">
        <f t="shared" si="14"/>
        <v>#DIV/0!</v>
      </c>
      <c r="X9" s="17" t="e">
        <f t="shared" si="14"/>
        <v>#DIV/0!</v>
      </c>
      <c r="Y9" s="17" t="e">
        <f t="shared" si="14"/>
        <v>#DIV/0!</v>
      </c>
      <c r="Z9" s="17">
        <f>CHOOSE(Scenario,Z10,Z11,Z12)</f>
        <v>7.2566945440606156E-2</v>
      </c>
      <c r="AA9" s="17">
        <f t="shared" ref="AA9:AR9" si="15">CHOOSE(Scenario,AA10,AA11,AA12)</f>
        <v>0</v>
      </c>
      <c r="AB9" s="17">
        <f t="shared" si="15"/>
        <v>0</v>
      </c>
      <c r="AC9" s="17">
        <f t="shared" si="15"/>
        <v>0</v>
      </c>
      <c r="AD9" s="17">
        <f t="shared" si="15"/>
        <v>0</v>
      </c>
      <c r="AE9" s="17">
        <f t="shared" si="15"/>
        <v>0.05</v>
      </c>
      <c r="AF9" s="17">
        <f t="shared" si="15"/>
        <v>0</v>
      </c>
      <c r="AG9" s="17">
        <f t="shared" si="15"/>
        <v>0</v>
      </c>
      <c r="AH9" s="17">
        <f t="shared" si="15"/>
        <v>0</v>
      </c>
      <c r="AI9" s="17">
        <f t="shared" si="15"/>
        <v>0</v>
      </c>
      <c r="AJ9" s="17">
        <f t="shared" si="15"/>
        <v>0.05</v>
      </c>
      <c r="AK9" s="17">
        <f t="shared" si="15"/>
        <v>0</v>
      </c>
      <c r="AL9" s="17">
        <f t="shared" si="15"/>
        <v>0</v>
      </c>
      <c r="AM9" s="17">
        <f t="shared" si="15"/>
        <v>0</v>
      </c>
      <c r="AN9" s="17">
        <f t="shared" si="15"/>
        <v>0</v>
      </c>
      <c r="AO9" s="17">
        <f>CHOOSE(Scenario,AO10,AO11,AO12)</f>
        <v>0.05</v>
      </c>
      <c r="AP9" s="17">
        <f>CHOOSE(Scenario,AP10,AP11,AP12)</f>
        <v>0.03</v>
      </c>
      <c r="AQ9" s="17">
        <f t="shared" si="15"/>
        <v>0.03</v>
      </c>
      <c r="AR9" s="18">
        <f t="shared" si="15"/>
        <v>0.03</v>
      </c>
    </row>
    <row r="10" spans="1:44" x14ac:dyDescent="0.2">
      <c r="A10" s="2"/>
      <c r="B10" s="2"/>
      <c r="C10" s="2"/>
      <c r="D10" s="2"/>
      <c r="E10" s="19" t="s">
        <v>6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113">
        <f>AVERAGE(K9,P9,U9)</f>
        <v>7.2566945440606156E-2</v>
      </c>
      <c r="AA10" s="104"/>
      <c r="AB10" s="104"/>
      <c r="AC10" s="104"/>
      <c r="AD10" s="104"/>
      <c r="AE10" s="113">
        <v>0.05</v>
      </c>
      <c r="AF10" s="104"/>
      <c r="AG10" s="104"/>
      <c r="AH10" s="104"/>
      <c r="AI10" s="104"/>
      <c r="AJ10" s="113">
        <v>0.05</v>
      </c>
      <c r="AK10" s="104"/>
      <c r="AL10" s="104"/>
      <c r="AM10" s="104"/>
      <c r="AN10" s="104"/>
      <c r="AO10" s="113">
        <v>0.05</v>
      </c>
      <c r="AP10" s="113">
        <v>0.03</v>
      </c>
      <c r="AQ10" s="113">
        <v>0.03</v>
      </c>
      <c r="AR10" s="20">
        <v>0.03</v>
      </c>
    </row>
    <row r="11" spans="1:44" x14ac:dyDescent="0.2">
      <c r="A11" s="2"/>
      <c r="B11" s="2"/>
      <c r="C11" s="2"/>
      <c r="D11" s="2"/>
      <c r="E11" s="21" t="s">
        <v>7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114">
        <v>-3.5000000000000003E-2</v>
      </c>
      <c r="AA11" s="2"/>
      <c r="AB11" s="2"/>
      <c r="AC11" s="2"/>
      <c r="AD11" s="2"/>
      <c r="AE11" s="115">
        <v>-2.5000000000000001E-2</v>
      </c>
      <c r="AF11" s="115">
        <v>-2.5000000000000001E-2</v>
      </c>
      <c r="AG11" s="115">
        <v>-2.5000000000000001E-2</v>
      </c>
      <c r="AH11" s="115">
        <v>-2.5000000000000001E-2</v>
      </c>
      <c r="AI11" s="115">
        <v>-2.5000000000000001E-2</v>
      </c>
      <c r="AJ11" s="115">
        <v>-2.5000000000000001E-2</v>
      </c>
      <c r="AK11" s="115">
        <v>-2.5000000000000001E-2</v>
      </c>
      <c r="AL11" s="115">
        <v>-2.5000000000000001E-2</v>
      </c>
      <c r="AM11" s="115">
        <v>-2.5000000000000001E-2</v>
      </c>
      <c r="AN11" s="115">
        <v>-2.5000000000000001E-2</v>
      </c>
      <c r="AO11" s="115">
        <v>-2.5000000000000001E-2</v>
      </c>
      <c r="AP11" s="115">
        <v>-1.4999999999999999E-2</v>
      </c>
      <c r="AQ11" s="115">
        <v>-1.4999999999999999E-2</v>
      </c>
      <c r="AR11" s="22">
        <v>-1.4999999999999999E-2</v>
      </c>
    </row>
    <row r="12" spans="1:44" x14ac:dyDescent="0.2">
      <c r="A12" s="2"/>
      <c r="B12" s="2"/>
      <c r="C12" s="2"/>
      <c r="D12" s="2"/>
      <c r="E12" s="23" t="s">
        <v>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116">
        <v>0.09</v>
      </c>
      <c r="AA12" s="2"/>
      <c r="AB12" s="2"/>
      <c r="AC12" s="2"/>
      <c r="AD12" s="2"/>
      <c r="AE12" s="116">
        <v>7.0000000000000007E-2</v>
      </c>
      <c r="AF12" s="116">
        <v>7.0000000000000007E-2</v>
      </c>
      <c r="AG12" s="116">
        <v>7.0000000000000007E-2</v>
      </c>
      <c r="AH12" s="116">
        <v>7.0000000000000007E-2</v>
      </c>
      <c r="AI12" s="116">
        <v>7.0000000000000007E-2</v>
      </c>
      <c r="AJ12" s="116">
        <v>7.0000000000000007E-2</v>
      </c>
      <c r="AK12" s="116">
        <v>7.0000000000000007E-2</v>
      </c>
      <c r="AL12" s="116">
        <v>7.0000000000000007E-2</v>
      </c>
      <c r="AM12" s="116">
        <v>7.0000000000000007E-2</v>
      </c>
      <c r="AN12" s="116">
        <v>7.0000000000000007E-2</v>
      </c>
      <c r="AO12" s="116">
        <v>7.0000000000000007E-2</v>
      </c>
      <c r="AP12" s="116">
        <v>0.04</v>
      </c>
      <c r="AQ12" s="116">
        <v>0.04</v>
      </c>
      <c r="AR12" s="24">
        <v>0.04</v>
      </c>
    </row>
    <row r="13" spans="1:44" x14ac:dyDescent="0.2">
      <c r="A13" s="2"/>
      <c r="B13" s="2"/>
      <c r="C13" s="2"/>
      <c r="D13" s="2"/>
      <c r="E13" s="7" t="s">
        <v>10</v>
      </c>
      <c r="F13" s="117">
        <v>681</v>
      </c>
      <c r="G13" s="117"/>
      <c r="H13" s="117"/>
      <c r="I13" s="117"/>
      <c r="J13" s="117"/>
      <c r="K13" s="117">
        <v>836</v>
      </c>
      <c r="L13" s="117"/>
      <c r="M13" s="117"/>
      <c r="N13" s="117"/>
      <c r="O13" s="117"/>
      <c r="P13" s="117">
        <v>1209</v>
      </c>
      <c r="Q13" s="14"/>
      <c r="R13" s="14"/>
      <c r="S13" s="14"/>
      <c r="T13" s="14"/>
      <c r="U13" s="118">
        <v>1284</v>
      </c>
      <c r="V13" s="14"/>
      <c r="W13" s="14"/>
      <c r="X13" s="14"/>
      <c r="Y13" s="14"/>
      <c r="Z13" s="14">
        <f>U13*(1+Z14)</f>
        <v>1361.04</v>
      </c>
      <c r="AA13" s="14">
        <f t="shared" ref="AA13:AO13" si="16">V13*(1+AA14)</f>
        <v>0</v>
      </c>
      <c r="AB13" s="14">
        <f t="shared" si="16"/>
        <v>0</v>
      </c>
      <c r="AC13" s="14">
        <f t="shared" si="16"/>
        <v>0</v>
      </c>
      <c r="AD13" s="14">
        <f t="shared" si="16"/>
        <v>0</v>
      </c>
      <c r="AE13" s="14">
        <f t="shared" si="16"/>
        <v>1415.4816000000001</v>
      </c>
      <c r="AF13" s="14">
        <f t="shared" si="16"/>
        <v>0</v>
      </c>
      <c r="AG13" s="14">
        <f t="shared" si="16"/>
        <v>0</v>
      </c>
      <c r="AH13" s="14">
        <f t="shared" si="16"/>
        <v>0</v>
      </c>
      <c r="AI13" s="14">
        <f t="shared" si="16"/>
        <v>0</v>
      </c>
      <c r="AJ13" s="14">
        <f t="shared" si="16"/>
        <v>1472.1008640000002</v>
      </c>
      <c r="AK13" s="14">
        <f t="shared" si="16"/>
        <v>0</v>
      </c>
      <c r="AL13" s="14">
        <f t="shared" si="16"/>
        <v>0</v>
      </c>
      <c r="AM13" s="14">
        <f t="shared" si="16"/>
        <v>0</v>
      </c>
      <c r="AN13" s="14">
        <f t="shared" si="16"/>
        <v>0</v>
      </c>
      <c r="AO13" s="14">
        <f t="shared" si="16"/>
        <v>1530.9848985600004</v>
      </c>
      <c r="AP13" s="14">
        <f>AO13*(1+AP14)</f>
        <v>1561.6045965312005</v>
      </c>
      <c r="AQ13" s="14">
        <f t="shared" ref="AQ13:AR13" si="17">AP13*(1+AQ14)</f>
        <v>1592.8366884618245</v>
      </c>
      <c r="AR13" s="15">
        <f t="shared" si="17"/>
        <v>1624.693422231061</v>
      </c>
    </row>
    <row r="14" spans="1:44" x14ac:dyDescent="0.2">
      <c r="A14" s="2"/>
      <c r="B14" s="2"/>
      <c r="C14" s="2"/>
      <c r="D14" s="2"/>
      <c r="E14" s="16" t="s">
        <v>9</v>
      </c>
      <c r="F14" s="95" t="s">
        <v>12</v>
      </c>
      <c r="G14" s="2"/>
      <c r="H14" s="2"/>
      <c r="I14" s="2"/>
      <c r="J14" s="2"/>
      <c r="K14" s="17">
        <f>K13/F13-1</f>
        <v>0.22760646108663729</v>
      </c>
      <c r="L14" s="17" t="e">
        <f t="shared" ref="L14:Y14" si="18">L13/G13-1</f>
        <v>#DIV/0!</v>
      </c>
      <c r="M14" s="17" t="e">
        <f t="shared" si="18"/>
        <v>#DIV/0!</v>
      </c>
      <c r="N14" s="17" t="e">
        <f t="shared" si="18"/>
        <v>#DIV/0!</v>
      </c>
      <c r="O14" s="17" t="e">
        <f t="shared" si="18"/>
        <v>#DIV/0!</v>
      </c>
      <c r="P14" s="17">
        <f t="shared" si="18"/>
        <v>0.44617224880382778</v>
      </c>
      <c r="Q14" s="17" t="e">
        <f t="shared" si="18"/>
        <v>#DIV/0!</v>
      </c>
      <c r="R14" s="17" t="e">
        <f t="shared" si="18"/>
        <v>#DIV/0!</v>
      </c>
      <c r="S14" s="17" t="e">
        <f t="shared" si="18"/>
        <v>#DIV/0!</v>
      </c>
      <c r="T14" s="17" t="e">
        <f t="shared" si="18"/>
        <v>#DIV/0!</v>
      </c>
      <c r="U14" s="17">
        <f t="shared" si="18"/>
        <v>6.2034739454094323E-2</v>
      </c>
      <c r="V14" s="17" t="e">
        <f t="shared" si="18"/>
        <v>#DIV/0!</v>
      </c>
      <c r="W14" s="17" t="e">
        <f t="shared" si="18"/>
        <v>#DIV/0!</v>
      </c>
      <c r="X14" s="17" t="e">
        <f t="shared" si="18"/>
        <v>#DIV/0!</v>
      </c>
      <c r="Y14" s="17" t="e">
        <f t="shared" si="18"/>
        <v>#DIV/0!</v>
      </c>
      <c r="Z14" s="17">
        <f t="shared" ref="Z14:AR14" si="19">CHOOSE(Scenario,Z15,Z16,Z17)</f>
        <v>0.06</v>
      </c>
      <c r="AA14" s="17">
        <f t="shared" si="19"/>
        <v>0</v>
      </c>
      <c r="AB14" s="17">
        <f t="shared" si="19"/>
        <v>0</v>
      </c>
      <c r="AC14" s="17">
        <f t="shared" si="19"/>
        <v>0</v>
      </c>
      <c r="AD14" s="17">
        <f t="shared" si="19"/>
        <v>0</v>
      </c>
      <c r="AE14" s="17">
        <f t="shared" si="19"/>
        <v>0.04</v>
      </c>
      <c r="AF14" s="17">
        <f t="shared" si="19"/>
        <v>0.04</v>
      </c>
      <c r="AG14" s="17">
        <f t="shared" si="19"/>
        <v>0.04</v>
      </c>
      <c r="AH14" s="17">
        <f t="shared" si="19"/>
        <v>0.04</v>
      </c>
      <c r="AI14" s="17">
        <f t="shared" si="19"/>
        <v>0.04</v>
      </c>
      <c r="AJ14" s="17">
        <f t="shared" si="19"/>
        <v>0.04</v>
      </c>
      <c r="AK14" s="17">
        <f t="shared" si="19"/>
        <v>0.04</v>
      </c>
      <c r="AL14" s="17">
        <f t="shared" si="19"/>
        <v>0.04</v>
      </c>
      <c r="AM14" s="17">
        <f t="shared" si="19"/>
        <v>0.04</v>
      </c>
      <c r="AN14" s="17">
        <f t="shared" si="19"/>
        <v>0.04</v>
      </c>
      <c r="AO14" s="17">
        <f t="shared" si="19"/>
        <v>0.04</v>
      </c>
      <c r="AP14" s="17">
        <f t="shared" si="19"/>
        <v>0.02</v>
      </c>
      <c r="AQ14" s="17">
        <f t="shared" si="19"/>
        <v>0.02</v>
      </c>
      <c r="AR14" s="18">
        <f t="shared" si="19"/>
        <v>0.02</v>
      </c>
    </row>
    <row r="15" spans="1:44" x14ac:dyDescent="0.2">
      <c r="A15" s="2"/>
      <c r="B15" s="2"/>
      <c r="C15" s="2"/>
      <c r="D15" s="2"/>
      <c r="E15" s="19" t="s">
        <v>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119">
        <v>0.06</v>
      </c>
      <c r="AA15" s="2"/>
      <c r="AB15" s="2"/>
      <c r="AC15" s="2"/>
      <c r="AD15" s="2"/>
      <c r="AE15" s="113">
        <v>0.04</v>
      </c>
      <c r="AF15" s="113">
        <v>0.04</v>
      </c>
      <c r="AG15" s="113">
        <v>0.04</v>
      </c>
      <c r="AH15" s="113">
        <v>0.04</v>
      </c>
      <c r="AI15" s="113">
        <v>0.04</v>
      </c>
      <c r="AJ15" s="113">
        <v>0.04</v>
      </c>
      <c r="AK15" s="113">
        <v>0.04</v>
      </c>
      <c r="AL15" s="113">
        <v>0.04</v>
      </c>
      <c r="AM15" s="113">
        <v>0.04</v>
      </c>
      <c r="AN15" s="113">
        <v>0.04</v>
      </c>
      <c r="AO15" s="113">
        <v>0.04</v>
      </c>
      <c r="AP15" s="113">
        <v>0.02</v>
      </c>
      <c r="AQ15" s="113">
        <v>0.02</v>
      </c>
      <c r="AR15" s="20">
        <v>0.02</v>
      </c>
    </row>
    <row r="16" spans="1:44" x14ac:dyDescent="0.2">
      <c r="A16" s="2"/>
      <c r="B16" s="2"/>
      <c r="C16" s="2"/>
      <c r="D16" s="2"/>
      <c r="E16" s="21" t="s">
        <v>7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114">
        <v>-0.03</v>
      </c>
      <c r="AA16" s="2"/>
      <c r="AB16" s="2"/>
      <c r="AC16" s="2"/>
      <c r="AD16" s="2"/>
      <c r="AE16" s="114">
        <v>-0.02</v>
      </c>
      <c r="AF16" s="114">
        <v>-0.02</v>
      </c>
      <c r="AG16" s="114">
        <v>-0.02</v>
      </c>
      <c r="AH16" s="114">
        <v>-0.02</v>
      </c>
      <c r="AI16" s="114">
        <v>-0.02</v>
      </c>
      <c r="AJ16" s="114">
        <v>-0.02</v>
      </c>
      <c r="AK16" s="114">
        <v>-0.02</v>
      </c>
      <c r="AL16" s="114">
        <v>-0.02</v>
      </c>
      <c r="AM16" s="114">
        <v>-0.02</v>
      </c>
      <c r="AN16" s="114">
        <v>-0.02</v>
      </c>
      <c r="AO16" s="114">
        <v>-0.02</v>
      </c>
      <c r="AP16" s="114">
        <v>-0.01</v>
      </c>
      <c r="AQ16" s="114">
        <v>-0.01</v>
      </c>
      <c r="AR16" s="25">
        <v>-0.01</v>
      </c>
    </row>
    <row r="17" spans="1:44" x14ac:dyDescent="0.2">
      <c r="A17" s="2"/>
      <c r="B17" s="2"/>
      <c r="C17" s="2"/>
      <c r="D17" s="2"/>
      <c r="E17" s="23" t="s">
        <v>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116">
        <v>0.08</v>
      </c>
      <c r="AA17" s="2"/>
      <c r="AB17" s="2"/>
      <c r="AC17" s="2"/>
      <c r="AD17" s="2"/>
      <c r="AE17" s="116">
        <v>0.06</v>
      </c>
      <c r="AF17" s="116">
        <v>0.06</v>
      </c>
      <c r="AG17" s="116">
        <v>0.06</v>
      </c>
      <c r="AH17" s="116">
        <v>0.06</v>
      </c>
      <c r="AI17" s="116">
        <v>0.06</v>
      </c>
      <c r="AJ17" s="116">
        <v>0.06</v>
      </c>
      <c r="AK17" s="116">
        <v>0.06</v>
      </c>
      <c r="AL17" s="116">
        <v>0.06</v>
      </c>
      <c r="AM17" s="116">
        <v>0.06</v>
      </c>
      <c r="AN17" s="116">
        <v>0.06</v>
      </c>
      <c r="AO17" s="116">
        <v>0.06</v>
      </c>
      <c r="AP17" s="116">
        <v>0.04</v>
      </c>
      <c r="AQ17" s="116">
        <v>0.04</v>
      </c>
      <c r="AR17" s="24">
        <v>0.04</v>
      </c>
    </row>
    <row r="18" spans="1:44" x14ac:dyDescent="0.2">
      <c r="A18" s="2"/>
      <c r="B18" s="2"/>
      <c r="C18" s="2"/>
      <c r="D18" s="2"/>
      <c r="E18" s="7" t="s">
        <v>11</v>
      </c>
      <c r="F18" s="117">
        <v>718</v>
      </c>
      <c r="G18" s="117"/>
      <c r="H18" s="117"/>
      <c r="I18" s="117"/>
      <c r="J18" s="117"/>
      <c r="K18" s="117">
        <v>767</v>
      </c>
      <c r="L18" s="117"/>
      <c r="M18" s="117"/>
      <c r="N18" s="117"/>
      <c r="O18" s="117"/>
      <c r="P18" s="117">
        <v>843</v>
      </c>
      <c r="Q18" s="14"/>
      <c r="R18" s="14"/>
      <c r="S18" s="14"/>
      <c r="T18" s="14"/>
      <c r="U18" s="118">
        <v>894</v>
      </c>
      <c r="V18" s="14"/>
      <c r="W18" s="14"/>
      <c r="X18" s="14"/>
      <c r="Y18" s="14"/>
      <c r="Z18" s="14">
        <f>U18*(1+Z19)</f>
        <v>961.89354839539328</v>
      </c>
      <c r="AA18" s="14">
        <f t="shared" ref="AA18:AO18" si="20">V18*(1+AA19)</f>
        <v>0</v>
      </c>
      <c r="AB18" s="14">
        <f t="shared" si="20"/>
        <v>0</v>
      </c>
      <c r="AC18" s="14">
        <f t="shared" si="20"/>
        <v>0</v>
      </c>
      <c r="AD18" s="14">
        <f t="shared" si="20"/>
        <v>0</v>
      </c>
      <c r="AE18" s="14">
        <f t="shared" si="20"/>
        <v>1019.6071612991169</v>
      </c>
      <c r="AF18" s="14">
        <f t="shared" si="20"/>
        <v>0</v>
      </c>
      <c r="AG18" s="14">
        <f t="shared" si="20"/>
        <v>0</v>
      </c>
      <c r="AH18" s="14">
        <f t="shared" si="20"/>
        <v>0</v>
      </c>
      <c r="AI18" s="14">
        <f t="shared" si="20"/>
        <v>0</v>
      </c>
      <c r="AJ18" s="14">
        <f t="shared" si="20"/>
        <v>1080.783590977064</v>
      </c>
      <c r="AK18" s="14">
        <f t="shared" si="20"/>
        <v>0</v>
      </c>
      <c r="AL18" s="14">
        <f t="shared" si="20"/>
        <v>0</v>
      </c>
      <c r="AM18" s="14">
        <f t="shared" si="20"/>
        <v>0</v>
      </c>
      <c r="AN18" s="14">
        <f t="shared" si="20"/>
        <v>0</v>
      </c>
      <c r="AO18" s="14">
        <f t="shared" si="20"/>
        <v>1145.6306064356879</v>
      </c>
      <c r="AP18" s="14">
        <f>AO18*(1+AP19)</f>
        <v>1191.4558306931156</v>
      </c>
      <c r="AQ18" s="14">
        <f t="shared" ref="AQ18:AR18" si="21">AP18*(1+AQ19)</f>
        <v>1239.1140639208402</v>
      </c>
      <c r="AR18" s="15">
        <f t="shared" si="21"/>
        <v>1288.6786264776738</v>
      </c>
    </row>
    <row r="19" spans="1:44" x14ac:dyDescent="0.2">
      <c r="A19" s="2"/>
      <c r="B19" s="2"/>
      <c r="C19" s="2"/>
      <c r="D19" s="2"/>
      <c r="E19" s="16" t="s">
        <v>9</v>
      </c>
      <c r="F19" s="3" t="s">
        <v>12</v>
      </c>
      <c r="G19" s="2"/>
      <c r="H19" s="2"/>
      <c r="I19" s="2"/>
      <c r="J19" s="2"/>
      <c r="K19" s="17">
        <f>K18/F18-1</f>
        <v>6.8245125348189495E-2</v>
      </c>
      <c r="L19" s="17" t="e">
        <f t="shared" ref="L19:Y19" si="22">L18/G18-1</f>
        <v>#DIV/0!</v>
      </c>
      <c r="M19" s="17" t="e">
        <f t="shared" si="22"/>
        <v>#DIV/0!</v>
      </c>
      <c r="N19" s="17" t="e">
        <f t="shared" si="22"/>
        <v>#DIV/0!</v>
      </c>
      <c r="O19" s="17" t="e">
        <f t="shared" si="22"/>
        <v>#DIV/0!</v>
      </c>
      <c r="P19" s="17">
        <f t="shared" si="22"/>
        <v>9.9087353324641469E-2</v>
      </c>
      <c r="Q19" s="17" t="e">
        <f t="shared" si="22"/>
        <v>#DIV/0!</v>
      </c>
      <c r="R19" s="17" t="e">
        <f t="shared" si="22"/>
        <v>#DIV/0!</v>
      </c>
      <c r="S19" s="17" t="e">
        <f t="shared" si="22"/>
        <v>#DIV/0!</v>
      </c>
      <c r="T19" s="17" t="e">
        <f t="shared" si="22"/>
        <v>#DIV/0!</v>
      </c>
      <c r="U19" s="17">
        <f t="shared" si="22"/>
        <v>6.0498220640569311E-2</v>
      </c>
      <c r="V19" s="17" t="e">
        <f t="shared" si="22"/>
        <v>#DIV/0!</v>
      </c>
      <c r="W19" s="17" t="e">
        <f t="shared" si="22"/>
        <v>#DIV/0!</v>
      </c>
      <c r="X19" s="17" t="e">
        <f t="shared" si="22"/>
        <v>#DIV/0!</v>
      </c>
      <c r="Y19" s="17" t="e">
        <f t="shared" si="22"/>
        <v>#DIV/0!</v>
      </c>
      <c r="Z19" s="17">
        <f t="shared" ref="Z19:AR19" si="23">CHOOSE(Scenario,Z20,Z21,Z22)</f>
        <v>7.5943566437800092E-2</v>
      </c>
      <c r="AA19" s="17">
        <f t="shared" si="23"/>
        <v>0</v>
      </c>
      <c r="AB19" s="17">
        <f t="shared" si="23"/>
        <v>0</v>
      </c>
      <c r="AC19" s="17">
        <f t="shared" si="23"/>
        <v>0</v>
      </c>
      <c r="AD19" s="17">
        <f t="shared" si="23"/>
        <v>0</v>
      </c>
      <c r="AE19" s="17">
        <f t="shared" si="23"/>
        <v>0.06</v>
      </c>
      <c r="AF19" s="17">
        <f t="shared" si="23"/>
        <v>0.06</v>
      </c>
      <c r="AG19" s="17">
        <f t="shared" si="23"/>
        <v>0.06</v>
      </c>
      <c r="AH19" s="17">
        <f t="shared" si="23"/>
        <v>0.06</v>
      </c>
      <c r="AI19" s="17">
        <f t="shared" si="23"/>
        <v>0.06</v>
      </c>
      <c r="AJ19" s="17">
        <f t="shared" si="23"/>
        <v>0.06</v>
      </c>
      <c r="AK19" s="17">
        <f t="shared" si="23"/>
        <v>0.06</v>
      </c>
      <c r="AL19" s="17">
        <f t="shared" si="23"/>
        <v>0.06</v>
      </c>
      <c r="AM19" s="17">
        <f t="shared" si="23"/>
        <v>0.06</v>
      </c>
      <c r="AN19" s="17">
        <f t="shared" si="23"/>
        <v>0.06</v>
      </c>
      <c r="AO19" s="17">
        <f t="shared" si="23"/>
        <v>0.06</v>
      </c>
      <c r="AP19" s="17">
        <f>CHOOSE(Scenario,AP20,AP21,AP22)</f>
        <v>0.04</v>
      </c>
      <c r="AQ19" s="17">
        <f t="shared" si="23"/>
        <v>0.04</v>
      </c>
      <c r="AR19" s="18">
        <f t="shared" si="23"/>
        <v>0.04</v>
      </c>
    </row>
    <row r="20" spans="1:44" x14ac:dyDescent="0.2">
      <c r="A20" s="2"/>
      <c r="B20" s="2"/>
      <c r="C20" s="2"/>
      <c r="D20" s="2"/>
      <c r="E20" s="19" t="s">
        <v>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113">
        <f>AVERAGE(K19,P19,U19)</f>
        <v>7.5943566437800092E-2</v>
      </c>
      <c r="AA20" s="2"/>
      <c r="AB20" s="2"/>
      <c r="AC20" s="2"/>
      <c r="AD20" s="2"/>
      <c r="AE20" s="113">
        <v>0.06</v>
      </c>
      <c r="AF20" s="113">
        <v>0.06</v>
      </c>
      <c r="AG20" s="113">
        <v>0.06</v>
      </c>
      <c r="AH20" s="113">
        <v>0.06</v>
      </c>
      <c r="AI20" s="113">
        <v>0.06</v>
      </c>
      <c r="AJ20" s="113">
        <v>0.06</v>
      </c>
      <c r="AK20" s="113">
        <v>0.06</v>
      </c>
      <c r="AL20" s="113">
        <v>0.06</v>
      </c>
      <c r="AM20" s="113">
        <v>0.06</v>
      </c>
      <c r="AN20" s="113">
        <v>0.06</v>
      </c>
      <c r="AO20" s="113">
        <v>0.06</v>
      </c>
      <c r="AP20" s="113">
        <v>0.04</v>
      </c>
      <c r="AQ20" s="113">
        <v>0.04</v>
      </c>
      <c r="AR20" s="20">
        <v>0.04</v>
      </c>
    </row>
    <row r="21" spans="1:44" x14ac:dyDescent="0.2">
      <c r="A21" s="2"/>
      <c r="B21" s="2"/>
      <c r="C21" s="2"/>
      <c r="D21" s="2"/>
      <c r="E21" s="21" t="s">
        <v>7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114">
        <v>-0.04</v>
      </c>
      <c r="AA21" s="2"/>
      <c r="AB21" s="2"/>
      <c r="AC21" s="2"/>
      <c r="AD21" s="2"/>
      <c r="AE21" s="114">
        <v>-0.03</v>
      </c>
      <c r="AF21" s="114">
        <v>-0.03</v>
      </c>
      <c r="AG21" s="114">
        <v>-0.03</v>
      </c>
      <c r="AH21" s="114">
        <v>-0.03</v>
      </c>
      <c r="AI21" s="114">
        <v>-0.03</v>
      </c>
      <c r="AJ21" s="114">
        <v>-0.03</v>
      </c>
      <c r="AK21" s="114">
        <v>-0.03</v>
      </c>
      <c r="AL21" s="114">
        <v>-0.03</v>
      </c>
      <c r="AM21" s="114">
        <v>-0.03</v>
      </c>
      <c r="AN21" s="114">
        <v>-0.03</v>
      </c>
      <c r="AO21" s="114">
        <v>-0.03</v>
      </c>
      <c r="AP21" s="114">
        <v>-0.03</v>
      </c>
      <c r="AQ21" s="114">
        <v>-0.03</v>
      </c>
      <c r="AR21" s="25">
        <v>-0.03</v>
      </c>
    </row>
    <row r="22" spans="1:44" x14ac:dyDescent="0.2">
      <c r="A22" s="2"/>
      <c r="B22" s="2"/>
      <c r="C22" s="2"/>
      <c r="D22" s="2"/>
      <c r="E22" s="23" t="s">
        <v>8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116">
        <v>0.1</v>
      </c>
      <c r="AA22" s="2"/>
      <c r="AB22" s="2"/>
      <c r="AC22" s="2"/>
      <c r="AD22" s="2"/>
      <c r="AE22" s="116">
        <v>0.08</v>
      </c>
      <c r="AF22" s="116">
        <v>0.08</v>
      </c>
      <c r="AG22" s="116">
        <v>0.08</v>
      </c>
      <c r="AH22" s="116">
        <v>0.08</v>
      </c>
      <c r="AI22" s="116">
        <v>0.08</v>
      </c>
      <c r="AJ22" s="116">
        <v>0.08</v>
      </c>
      <c r="AK22" s="116">
        <v>0.08</v>
      </c>
      <c r="AL22" s="116">
        <v>0.08</v>
      </c>
      <c r="AM22" s="116">
        <v>0.08</v>
      </c>
      <c r="AN22" s="116">
        <v>0.08</v>
      </c>
      <c r="AO22" s="116">
        <v>0.08</v>
      </c>
      <c r="AP22" s="116">
        <v>0.08</v>
      </c>
      <c r="AQ22" s="116">
        <v>0.08</v>
      </c>
      <c r="AR22" s="24">
        <v>0.08</v>
      </c>
    </row>
    <row r="23" spans="1:44" x14ac:dyDescent="0.2">
      <c r="A23" s="2"/>
      <c r="B23" s="2"/>
      <c r="C23" s="2"/>
      <c r="D23" s="2"/>
      <c r="E23" s="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R23" s="106"/>
    </row>
    <row r="24" spans="1:44" x14ac:dyDescent="0.2">
      <c r="A24" s="2"/>
      <c r="B24" s="2"/>
      <c r="C24" s="2"/>
      <c r="D24" s="2"/>
      <c r="E24" s="130" t="s">
        <v>13</v>
      </c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9"/>
    </row>
    <row r="25" spans="1:44" x14ac:dyDescent="0.2">
      <c r="A25" s="2"/>
      <c r="B25" s="2"/>
      <c r="C25" s="2"/>
      <c r="D25" s="2"/>
      <c r="E25" s="8" t="s">
        <v>14</v>
      </c>
      <c r="F25" s="9">
        <f>F26</f>
        <v>1511</v>
      </c>
      <c r="G25" s="9">
        <f t="shared" ref="G25:AR25" si="24">G26</f>
        <v>0</v>
      </c>
      <c r="H25" s="9">
        <f t="shared" si="24"/>
        <v>0</v>
      </c>
      <c r="I25" s="9">
        <f t="shared" si="24"/>
        <v>0</v>
      </c>
      <c r="J25" s="9">
        <f t="shared" si="24"/>
        <v>0</v>
      </c>
      <c r="K25" s="9">
        <f t="shared" si="24"/>
        <v>1640</v>
      </c>
      <c r="L25" s="9">
        <f t="shared" si="24"/>
        <v>0</v>
      </c>
      <c r="M25" s="9">
        <f t="shared" si="24"/>
        <v>0</v>
      </c>
      <c r="N25" s="9">
        <f t="shared" si="24"/>
        <v>0</v>
      </c>
      <c r="O25" s="9">
        <f t="shared" si="24"/>
        <v>0</v>
      </c>
      <c r="P25" s="9">
        <f t="shared" si="24"/>
        <v>1868</v>
      </c>
      <c r="Q25" s="9">
        <f t="shared" si="24"/>
        <v>0</v>
      </c>
      <c r="R25" s="9">
        <f t="shared" si="24"/>
        <v>0</v>
      </c>
      <c r="S25" s="9">
        <f t="shared" si="24"/>
        <v>0</v>
      </c>
      <c r="T25" s="9">
        <f t="shared" si="24"/>
        <v>0</v>
      </c>
      <c r="U25" s="9">
        <f t="shared" si="24"/>
        <v>2045</v>
      </c>
      <c r="V25" s="9">
        <f t="shared" si="24"/>
        <v>0</v>
      </c>
      <c r="W25" s="9">
        <f t="shared" si="24"/>
        <v>0</v>
      </c>
      <c r="X25" s="9">
        <f t="shared" si="24"/>
        <v>0</v>
      </c>
      <c r="Y25" s="9">
        <f t="shared" si="24"/>
        <v>0</v>
      </c>
      <c r="Z25" s="9">
        <f t="shared" si="24"/>
        <v>2183.2186919673145</v>
      </c>
      <c r="AA25" s="9">
        <f t="shared" si="24"/>
        <v>0</v>
      </c>
      <c r="AB25" s="9">
        <f t="shared" si="24"/>
        <v>0</v>
      </c>
      <c r="AC25" s="9">
        <f t="shared" si="24"/>
        <v>0</v>
      </c>
      <c r="AD25" s="9">
        <f t="shared" si="24"/>
        <v>0</v>
      </c>
      <c r="AE25" s="9">
        <f t="shared" si="24"/>
        <v>2290.7830407592619</v>
      </c>
      <c r="AF25" s="9">
        <f t="shared" si="24"/>
        <v>0</v>
      </c>
      <c r="AG25" s="9">
        <f t="shared" si="24"/>
        <v>0</v>
      </c>
      <c r="AH25" s="9">
        <f t="shared" si="24"/>
        <v>0</v>
      </c>
      <c r="AI25" s="9">
        <f t="shared" si="24"/>
        <v>0</v>
      </c>
      <c r="AJ25" s="9">
        <f t="shared" si="24"/>
        <v>2403.7386950424211</v>
      </c>
      <c r="AK25" s="9">
        <f t="shared" si="24"/>
        <v>0</v>
      </c>
      <c r="AL25" s="9">
        <f t="shared" si="24"/>
        <v>0</v>
      </c>
      <c r="AM25" s="9">
        <f t="shared" si="24"/>
        <v>0</v>
      </c>
      <c r="AN25" s="9">
        <f t="shared" si="24"/>
        <v>0</v>
      </c>
      <c r="AO25" s="9">
        <f t="shared" si="24"/>
        <v>2522.3603607024506</v>
      </c>
      <c r="AP25" s="9">
        <f t="shared" si="24"/>
        <v>2596.4897543550269</v>
      </c>
      <c r="AQ25" s="9">
        <f t="shared" si="24"/>
        <v>2672.9038519223259</v>
      </c>
      <c r="AR25" s="10">
        <f t="shared" si="24"/>
        <v>2751.6760769818316</v>
      </c>
    </row>
    <row r="26" spans="1:44" x14ac:dyDescent="0.2">
      <c r="A26" s="2"/>
      <c r="B26" s="2"/>
      <c r="C26" s="2"/>
      <c r="D26" s="2"/>
      <c r="E26" s="7" t="s">
        <v>16</v>
      </c>
      <c r="F26" s="14">
        <v>1511</v>
      </c>
      <c r="G26" s="14"/>
      <c r="H26" s="14"/>
      <c r="I26" s="14"/>
      <c r="J26" s="14"/>
      <c r="K26" s="14">
        <v>1640</v>
      </c>
      <c r="L26" s="14"/>
      <c r="M26" s="14"/>
      <c r="N26" s="14"/>
      <c r="O26" s="14"/>
      <c r="P26" s="14">
        <v>1868</v>
      </c>
      <c r="Q26" s="14"/>
      <c r="R26" s="14"/>
      <c r="S26" s="14"/>
      <c r="T26" s="14"/>
      <c r="U26" s="14">
        <v>2045</v>
      </c>
      <c r="V26" s="14"/>
      <c r="W26" s="14"/>
      <c r="X26" s="14"/>
      <c r="Y26" s="14"/>
      <c r="Z26" s="14">
        <f>Z27*Z6</f>
        <v>2183.2186919673145</v>
      </c>
      <c r="AA26" s="14">
        <f t="shared" ref="AA26:AR26" si="25">AA27*AA6</f>
        <v>0</v>
      </c>
      <c r="AB26" s="14">
        <f t="shared" si="25"/>
        <v>0</v>
      </c>
      <c r="AC26" s="14">
        <f t="shared" si="25"/>
        <v>0</v>
      </c>
      <c r="AD26" s="14">
        <f t="shared" si="25"/>
        <v>0</v>
      </c>
      <c r="AE26" s="14">
        <f t="shared" si="25"/>
        <v>2290.7830407592619</v>
      </c>
      <c r="AF26" s="14">
        <f t="shared" si="25"/>
        <v>0</v>
      </c>
      <c r="AG26" s="14">
        <f t="shared" si="25"/>
        <v>0</v>
      </c>
      <c r="AH26" s="14">
        <f t="shared" si="25"/>
        <v>0</v>
      </c>
      <c r="AI26" s="14">
        <f t="shared" si="25"/>
        <v>0</v>
      </c>
      <c r="AJ26" s="14">
        <f t="shared" si="25"/>
        <v>2403.7386950424211</v>
      </c>
      <c r="AK26" s="14">
        <f t="shared" si="25"/>
        <v>0</v>
      </c>
      <c r="AL26" s="14">
        <f t="shared" si="25"/>
        <v>0</v>
      </c>
      <c r="AM26" s="14">
        <f t="shared" si="25"/>
        <v>0</v>
      </c>
      <c r="AN26" s="14">
        <f t="shared" si="25"/>
        <v>0</v>
      </c>
      <c r="AO26" s="14">
        <f t="shared" si="25"/>
        <v>2522.3603607024506</v>
      </c>
      <c r="AP26" s="14">
        <f t="shared" si="25"/>
        <v>2596.4897543550269</v>
      </c>
      <c r="AQ26" s="14">
        <f t="shared" si="25"/>
        <v>2672.9038519223259</v>
      </c>
      <c r="AR26" s="15">
        <f t="shared" si="25"/>
        <v>2751.6760769818316</v>
      </c>
    </row>
    <row r="27" spans="1:44" x14ac:dyDescent="0.2">
      <c r="A27" s="2"/>
      <c r="B27" s="2"/>
      <c r="C27" s="2"/>
      <c r="D27" s="2"/>
      <c r="E27" s="7" t="s">
        <v>17</v>
      </c>
      <c r="F27" s="17">
        <f>F26/F6</f>
        <v>0.40100849256900212</v>
      </c>
      <c r="G27" s="17" t="e">
        <f t="shared" ref="G27:U27" si="26">G26/G6</f>
        <v>#DIV/0!</v>
      </c>
      <c r="H27" s="17" t="e">
        <f t="shared" si="26"/>
        <v>#DIV/0!</v>
      </c>
      <c r="I27" s="17" t="e">
        <f t="shared" si="26"/>
        <v>#DIV/0!</v>
      </c>
      <c r="J27" s="17" t="e">
        <f t="shared" si="26"/>
        <v>#DIV/0!</v>
      </c>
      <c r="K27" s="17">
        <f t="shared" si="26"/>
        <v>0.39556198745779064</v>
      </c>
      <c r="L27" s="17" t="e">
        <f t="shared" si="26"/>
        <v>#DIV/0!</v>
      </c>
      <c r="M27" s="17" t="e">
        <f t="shared" si="26"/>
        <v>#DIV/0!</v>
      </c>
      <c r="N27" s="17" t="e">
        <f t="shared" si="26"/>
        <v>#DIV/0!</v>
      </c>
      <c r="O27" s="17" t="e">
        <f t="shared" si="26"/>
        <v>#DIV/0!</v>
      </c>
      <c r="P27" s="17">
        <f t="shared" si="26"/>
        <v>0.38989772490085578</v>
      </c>
      <c r="Q27" s="17" t="e">
        <f t="shared" si="26"/>
        <v>#DIV/0!</v>
      </c>
      <c r="R27" s="17" t="e">
        <f t="shared" si="26"/>
        <v>#DIV/0!</v>
      </c>
      <c r="S27" s="17" t="e">
        <f t="shared" si="26"/>
        <v>#DIV/0!</v>
      </c>
      <c r="T27" s="17" t="e">
        <f t="shared" si="26"/>
        <v>#DIV/0!</v>
      </c>
      <c r="U27" s="17">
        <f t="shared" si="26"/>
        <v>0.40090178396392862</v>
      </c>
      <c r="V27" s="2"/>
      <c r="W27" s="2"/>
      <c r="X27" s="2"/>
      <c r="Y27" s="2"/>
      <c r="Z27" s="17">
        <f t="shared" ref="Z27:AR27" si="27">CHOOSE(Scenario,Z28,Z29,Z30)</f>
        <v>0.4</v>
      </c>
      <c r="AA27" s="17">
        <f t="shared" si="27"/>
        <v>0.4</v>
      </c>
      <c r="AB27" s="17">
        <f t="shared" si="27"/>
        <v>0.4</v>
      </c>
      <c r="AC27" s="17">
        <f t="shared" si="27"/>
        <v>0.4</v>
      </c>
      <c r="AD27" s="17">
        <f t="shared" si="27"/>
        <v>0.4</v>
      </c>
      <c r="AE27" s="17">
        <f t="shared" si="27"/>
        <v>0.4</v>
      </c>
      <c r="AF27" s="17">
        <f t="shared" si="27"/>
        <v>0.4</v>
      </c>
      <c r="AG27" s="17">
        <f t="shared" si="27"/>
        <v>0.4</v>
      </c>
      <c r="AH27" s="17">
        <f t="shared" si="27"/>
        <v>0.4</v>
      </c>
      <c r="AI27" s="17">
        <f t="shared" si="27"/>
        <v>0.4</v>
      </c>
      <c r="AJ27" s="17">
        <f t="shared" si="27"/>
        <v>0.4</v>
      </c>
      <c r="AK27" s="17">
        <f t="shared" si="27"/>
        <v>0.4</v>
      </c>
      <c r="AL27" s="17">
        <f t="shared" si="27"/>
        <v>0.4</v>
      </c>
      <c r="AM27" s="17">
        <f t="shared" si="27"/>
        <v>0.4</v>
      </c>
      <c r="AN27" s="17">
        <f t="shared" si="27"/>
        <v>0.4</v>
      </c>
      <c r="AO27" s="17">
        <f t="shared" si="27"/>
        <v>0.4</v>
      </c>
      <c r="AP27" s="17">
        <f t="shared" si="27"/>
        <v>0.4</v>
      </c>
      <c r="AQ27" s="17">
        <f t="shared" si="27"/>
        <v>0.4</v>
      </c>
      <c r="AR27" s="18">
        <f t="shared" si="27"/>
        <v>0.4</v>
      </c>
    </row>
    <row r="28" spans="1:44" x14ac:dyDescent="0.2">
      <c r="A28" s="2"/>
      <c r="B28" s="2"/>
      <c r="C28" s="2"/>
      <c r="D28" s="2"/>
      <c r="E28" s="19" t="s">
        <v>6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113">
        <v>0.4</v>
      </c>
      <c r="AA28" s="113">
        <v>0.4</v>
      </c>
      <c r="AB28" s="113">
        <v>0.4</v>
      </c>
      <c r="AC28" s="113">
        <v>0.4</v>
      </c>
      <c r="AD28" s="113">
        <v>0.4</v>
      </c>
      <c r="AE28" s="113">
        <v>0.4</v>
      </c>
      <c r="AF28" s="113">
        <v>0.4</v>
      </c>
      <c r="AG28" s="113">
        <v>0.4</v>
      </c>
      <c r="AH28" s="113">
        <v>0.4</v>
      </c>
      <c r="AI28" s="113">
        <v>0.4</v>
      </c>
      <c r="AJ28" s="113">
        <v>0.4</v>
      </c>
      <c r="AK28" s="113">
        <v>0.4</v>
      </c>
      <c r="AL28" s="113">
        <v>0.4</v>
      </c>
      <c r="AM28" s="113">
        <v>0.4</v>
      </c>
      <c r="AN28" s="113">
        <v>0.4</v>
      </c>
      <c r="AO28" s="113">
        <v>0.4</v>
      </c>
      <c r="AP28" s="113">
        <v>0.4</v>
      </c>
      <c r="AQ28" s="113">
        <v>0.4</v>
      </c>
      <c r="AR28" s="20">
        <v>0.4</v>
      </c>
    </row>
    <row r="29" spans="1:44" x14ac:dyDescent="0.2">
      <c r="A29" s="2"/>
      <c r="B29" s="2"/>
      <c r="C29" s="2"/>
      <c r="D29" s="2"/>
      <c r="E29" s="21" t="s">
        <v>7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114">
        <v>0.37</v>
      </c>
      <c r="AA29" s="114">
        <v>0.37</v>
      </c>
      <c r="AB29" s="114">
        <v>0.37</v>
      </c>
      <c r="AC29" s="114">
        <v>0.37</v>
      </c>
      <c r="AD29" s="114">
        <v>0.37</v>
      </c>
      <c r="AE29" s="114">
        <v>0.37</v>
      </c>
      <c r="AF29" s="114">
        <v>0.37</v>
      </c>
      <c r="AG29" s="114">
        <v>0.37</v>
      </c>
      <c r="AH29" s="114">
        <v>0.37</v>
      </c>
      <c r="AI29" s="114">
        <v>0.37</v>
      </c>
      <c r="AJ29" s="114">
        <v>0.37</v>
      </c>
      <c r="AK29" s="114">
        <v>0.37</v>
      </c>
      <c r="AL29" s="114">
        <v>0.37</v>
      </c>
      <c r="AM29" s="114">
        <v>0.37</v>
      </c>
      <c r="AN29" s="114">
        <v>0.37</v>
      </c>
      <c r="AO29" s="114">
        <v>0.37</v>
      </c>
      <c r="AP29" s="114">
        <v>0.37</v>
      </c>
      <c r="AQ29" s="114">
        <v>0.37</v>
      </c>
      <c r="AR29" s="25">
        <v>0.37</v>
      </c>
    </row>
    <row r="30" spans="1:44" ht="17" thickBot="1" x14ac:dyDescent="0.25">
      <c r="A30" s="2"/>
      <c r="B30" s="2"/>
      <c r="C30" s="2"/>
      <c r="D30" s="2"/>
      <c r="E30" s="27" t="s">
        <v>8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120">
        <v>0.42</v>
      </c>
      <c r="AA30" s="120">
        <v>0.42</v>
      </c>
      <c r="AB30" s="120">
        <v>0.42</v>
      </c>
      <c r="AC30" s="120">
        <v>0.42</v>
      </c>
      <c r="AD30" s="120">
        <v>0.42</v>
      </c>
      <c r="AE30" s="120">
        <v>0.42</v>
      </c>
      <c r="AF30" s="120">
        <v>0.42</v>
      </c>
      <c r="AG30" s="120">
        <v>0.42</v>
      </c>
      <c r="AH30" s="120">
        <v>0.42</v>
      </c>
      <c r="AI30" s="120">
        <v>0.42</v>
      </c>
      <c r="AJ30" s="120">
        <v>0.42</v>
      </c>
      <c r="AK30" s="120">
        <v>0.42</v>
      </c>
      <c r="AL30" s="120">
        <v>0.42</v>
      </c>
      <c r="AM30" s="120">
        <v>0.42</v>
      </c>
      <c r="AN30" s="120">
        <v>0.42</v>
      </c>
      <c r="AO30" s="120">
        <v>0.42</v>
      </c>
      <c r="AP30" s="120">
        <v>0.42</v>
      </c>
      <c r="AQ30" s="120">
        <v>0.42</v>
      </c>
      <c r="AR30" s="29">
        <v>0.42</v>
      </c>
    </row>
    <row r="32" spans="1:44" x14ac:dyDescent="0.2">
      <c r="Z32" s="1"/>
    </row>
  </sheetData>
  <pageMargins left="0.7" right="0.7" top="0.75" bottom="0.75" header="0.3" footer="0.3"/>
  <ignoredErrors>
    <ignoredError sqref="K3 P3 U3 Z3 AE3 AJ3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E455B-02C9-244D-960E-44234142FFB7}">
  <dimension ref="B1:M32"/>
  <sheetViews>
    <sheetView workbookViewId="0">
      <selection activeCell="G17" sqref="G17"/>
    </sheetView>
  </sheetViews>
  <sheetFormatPr baseColWidth="10" defaultRowHeight="16" x14ac:dyDescent="0.2"/>
  <cols>
    <col min="2" max="2" width="23.6640625" customWidth="1"/>
    <col min="6" max="6" width="9.83203125" customWidth="1"/>
    <col min="7" max="7" width="12.33203125" customWidth="1"/>
    <col min="10" max="10" width="13.5" customWidth="1"/>
    <col min="11" max="11" width="12.6640625" customWidth="1"/>
    <col min="12" max="12" width="18.1640625" customWidth="1"/>
    <col min="13" max="13" width="13.6640625" customWidth="1"/>
  </cols>
  <sheetData>
    <row r="1" spans="2:13" ht="17" thickBot="1" x14ac:dyDescent="0.25"/>
    <row r="2" spans="2:13" ht="17" thickBot="1" x14ac:dyDescent="0.25">
      <c r="B2" s="178" t="s">
        <v>141</v>
      </c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80"/>
    </row>
    <row r="3" spans="2:13" ht="17" thickBot="1" x14ac:dyDescent="0.25">
      <c r="B3" s="181" t="s">
        <v>130</v>
      </c>
      <c r="C3" s="182"/>
      <c r="D3" s="182"/>
      <c r="E3" s="182"/>
      <c r="F3" s="182"/>
      <c r="G3" s="183" t="s">
        <v>131</v>
      </c>
      <c r="H3" s="182"/>
      <c r="I3" s="182"/>
      <c r="J3" s="184" t="s">
        <v>132</v>
      </c>
      <c r="K3" s="185"/>
      <c r="L3" s="186" t="s">
        <v>133</v>
      </c>
      <c r="M3" s="187"/>
    </row>
    <row r="4" spans="2:13" ht="17" thickBot="1" x14ac:dyDescent="0.25">
      <c r="B4" s="141" t="s">
        <v>134</v>
      </c>
      <c r="C4" s="142" t="s">
        <v>23</v>
      </c>
      <c r="D4" s="142" t="s">
        <v>135</v>
      </c>
      <c r="E4" s="142" t="s">
        <v>136</v>
      </c>
      <c r="F4" s="142" t="s">
        <v>137</v>
      </c>
      <c r="G4" s="143" t="s">
        <v>148</v>
      </c>
      <c r="H4" s="142" t="s">
        <v>138</v>
      </c>
      <c r="I4" s="142" t="s">
        <v>139</v>
      </c>
      <c r="J4" s="141" t="s">
        <v>87</v>
      </c>
      <c r="K4" s="144" t="s">
        <v>86</v>
      </c>
      <c r="L4" s="142" t="s">
        <v>140</v>
      </c>
      <c r="M4" s="144" t="s">
        <v>90</v>
      </c>
    </row>
    <row r="5" spans="2:13" x14ac:dyDescent="0.2">
      <c r="B5" s="145" t="s">
        <v>2</v>
      </c>
      <c r="C5" s="146" t="s">
        <v>30</v>
      </c>
      <c r="D5" s="147">
        <f>Data!F49</f>
        <v>16.82</v>
      </c>
      <c r="E5" s="148">
        <f>BCLO!Z101</f>
        <v>5905.5853749999997</v>
      </c>
      <c r="F5" s="148">
        <f>BCLO!U103</f>
        <v>10635.916000000001</v>
      </c>
      <c r="G5" s="149">
        <v>8.6E-3</v>
      </c>
      <c r="H5" s="150">
        <v>2.5999999999999999E-3</v>
      </c>
      <c r="I5" s="150">
        <v>4.5999999999999999E-3</v>
      </c>
      <c r="J5" s="151">
        <f>BCLO!Z93</f>
        <v>21.065415427896617</v>
      </c>
      <c r="K5" s="152">
        <f>BCLO!Z92</f>
        <v>-26.645298986775092</v>
      </c>
      <c r="L5" s="150">
        <f>BCLO!Z31</f>
        <v>9.3706359980788592E-2</v>
      </c>
      <c r="M5" s="153">
        <f>BCLO!Z97</f>
        <v>1.1450296445846182E-2</v>
      </c>
    </row>
    <row r="6" spans="2:13" x14ac:dyDescent="0.2">
      <c r="B6" s="7" t="s">
        <v>142</v>
      </c>
      <c r="C6" s="3" t="s">
        <v>143</v>
      </c>
      <c r="D6" s="154">
        <v>75</v>
      </c>
      <c r="E6" s="155">
        <v>37850</v>
      </c>
      <c r="F6" s="155">
        <v>45000</v>
      </c>
      <c r="G6" s="156">
        <v>4.8999999999999998E-3</v>
      </c>
      <c r="H6" s="59">
        <v>-0.20039999999999999</v>
      </c>
      <c r="I6" s="59">
        <v>-2.4400000000000002E-2</v>
      </c>
      <c r="J6" s="157">
        <v>30</v>
      </c>
      <c r="K6" s="158">
        <v>38</v>
      </c>
      <c r="L6" s="59">
        <v>0.26</v>
      </c>
      <c r="M6" s="159">
        <v>0.27</v>
      </c>
    </row>
    <row r="7" spans="2:13" x14ac:dyDescent="0.2">
      <c r="B7" s="7" t="s">
        <v>144</v>
      </c>
      <c r="C7" s="3" t="s">
        <v>145</v>
      </c>
      <c r="D7" s="154">
        <v>70</v>
      </c>
      <c r="E7" s="155">
        <v>14400</v>
      </c>
      <c r="F7" s="155">
        <v>19000</v>
      </c>
      <c r="G7" s="156">
        <v>-0.12959999999999999</v>
      </c>
      <c r="H7" s="59">
        <v>-0.22520000000000001</v>
      </c>
      <c r="I7" s="59">
        <v>-0.22520000000000001</v>
      </c>
      <c r="J7" s="157">
        <v>15</v>
      </c>
      <c r="K7" s="158">
        <v>15</v>
      </c>
      <c r="L7" s="59">
        <v>0.27</v>
      </c>
      <c r="M7" s="159">
        <v>0.03</v>
      </c>
    </row>
    <row r="8" spans="2:13" ht="17" thickBot="1" x14ac:dyDescent="0.25">
      <c r="B8" s="7" t="s">
        <v>146</v>
      </c>
      <c r="C8" s="3" t="s">
        <v>147</v>
      </c>
      <c r="D8" s="154">
        <v>18</v>
      </c>
      <c r="E8" s="155">
        <v>900</v>
      </c>
      <c r="F8" s="155">
        <v>700</v>
      </c>
      <c r="G8" s="156">
        <v>-3.5000000000000003E-2</v>
      </c>
      <c r="H8" s="59">
        <v>7.4200000000000002E-2</v>
      </c>
      <c r="I8" s="59">
        <v>0.4178</v>
      </c>
      <c r="J8" s="157">
        <v>-29</v>
      </c>
      <c r="K8" s="158">
        <v>-15</v>
      </c>
      <c r="L8" s="59">
        <f>-34%</f>
        <v>-0.34</v>
      </c>
      <c r="M8" s="159">
        <f>-16%</f>
        <v>-0.16</v>
      </c>
    </row>
    <row r="9" spans="2:13" x14ac:dyDescent="0.2">
      <c r="B9" s="161" t="s">
        <v>129</v>
      </c>
      <c r="C9" s="162"/>
      <c r="D9" s="162"/>
      <c r="E9" s="162"/>
      <c r="F9" s="162"/>
      <c r="G9" s="163">
        <f>MEDIAN(G5:G8)</f>
        <v>-1.5050000000000001E-2</v>
      </c>
      <c r="H9" s="163">
        <f t="shared" ref="H9:M9" si="0">MEDIAN(H5:H8)</f>
        <v>-9.8900000000000002E-2</v>
      </c>
      <c r="I9" s="163">
        <f t="shared" si="0"/>
        <v>-9.9000000000000008E-3</v>
      </c>
      <c r="J9" s="164">
        <f>MEDIAN(J5:J8)</f>
        <v>18.032707713948309</v>
      </c>
      <c r="K9" s="164">
        <f t="shared" si="0"/>
        <v>0</v>
      </c>
      <c r="L9" s="163">
        <f t="shared" si="0"/>
        <v>0.17685317999039429</v>
      </c>
      <c r="M9" s="165">
        <f t="shared" si="0"/>
        <v>2.0725148222923089E-2</v>
      </c>
    </row>
    <row r="10" spans="2:13" ht="17" thickBot="1" x14ac:dyDescent="0.25">
      <c r="B10" s="166" t="s">
        <v>128</v>
      </c>
      <c r="C10" s="167"/>
      <c r="D10" s="167"/>
      <c r="E10" s="167"/>
      <c r="F10" s="167"/>
      <c r="G10" s="168">
        <f t="shared" ref="G10:M10" si="1">AVERAGE(G5:G8)</f>
        <v>-3.7775000000000003E-2</v>
      </c>
      <c r="H10" s="168">
        <f t="shared" si="1"/>
        <v>-8.7200000000000014E-2</v>
      </c>
      <c r="I10" s="168">
        <f t="shared" si="1"/>
        <v>4.3199999999999995E-2</v>
      </c>
      <c r="J10" s="160">
        <f t="shared" si="1"/>
        <v>9.2663538569741561</v>
      </c>
      <c r="K10" s="160">
        <f t="shared" si="1"/>
        <v>2.8386752533062269</v>
      </c>
      <c r="L10" s="168">
        <f t="shared" si="1"/>
        <v>7.0926589995197145E-2</v>
      </c>
      <c r="M10" s="169">
        <f t="shared" si="1"/>
        <v>3.7862574111461551E-2</v>
      </c>
    </row>
    <row r="12" spans="2:13" x14ac:dyDescent="0.2">
      <c r="B12" s="208"/>
      <c r="C12" s="208"/>
      <c r="D12" s="208"/>
      <c r="E12" s="208"/>
      <c r="F12" s="208"/>
      <c r="G12" s="208"/>
      <c r="H12" s="208"/>
      <c r="I12" s="208"/>
      <c r="J12" s="208"/>
      <c r="K12" s="174"/>
      <c r="L12" s="174"/>
      <c r="M12" s="174"/>
    </row>
    <row r="13" spans="2:13" x14ac:dyDescent="0.2">
      <c r="B13" s="188"/>
      <c r="C13" s="189"/>
      <c r="D13" s="189"/>
      <c r="E13" s="189"/>
      <c r="F13" s="189"/>
      <c r="G13" s="189"/>
      <c r="H13" s="189"/>
      <c r="I13" s="189"/>
      <c r="J13" s="189"/>
      <c r="K13" s="175"/>
      <c r="L13" s="173"/>
      <c r="M13" s="173"/>
    </row>
    <row r="14" spans="2:13" ht="16" customHeight="1" x14ac:dyDescent="0.2">
      <c r="B14" s="190"/>
      <c r="C14" s="191"/>
      <c r="D14" s="192"/>
      <c r="E14" s="192"/>
      <c r="F14" s="192"/>
      <c r="G14" s="193"/>
      <c r="H14" s="194"/>
      <c r="I14" s="194"/>
      <c r="J14" s="195"/>
      <c r="K14" s="173"/>
      <c r="L14" s="173"/>
      <c r="M14" s="173"/>
    </row>
    <row r="15" spans="2:13" ht="16" customHeight="1" x14ac:dyDescent="0.2">
      <c r="B15" s="190"/>
      <c r="C15" s="191"/>
      <c r="D15" s="192"/>
      <c r="E15" s="192"/>
      <c r="F15" s="192"/>
      <c r="G15" s="193"/>
      <c r="H15" s="194"/>
      <c r="I15" s="194"/>
      <c r="J15" s="195"/>
      <c r="K15" s="173"/>
      <c r="L15" s="173"/>
      <c r="M15" s="173"/>
    </row>
    <row r="16" spans="2:13" ht="16" customHeight="1" x14ac:dyDescent="0.2">
      <c r="B16" s="196"/>
      <c r="C16" s="197"/>
      <c r="D16" s="196"/>
      <c r="E16" s="196"/>
      <c r="F16" s="196"/>
      <c r="G16" s="196"/>
      <c r="H16" s="198"/>
      <c r="I16" s="198"/>
      <c r="J16" s="198"/>
      <c r="K16" s="173"/>
      <c r="L16" s="173"/>
      <c r="M16" s="173"/>
    </row>
    <row r="17" spans="2:13" x14ac:dyDescent="0.2">
      <c r="B17" s="196"/>
      <c r="C17" s="197"/>
      <c r="D17" s="197"/>
      <c r="E17" s="197"/>
      <c r="F17" s="197"/>
      <c r="G17" s="197"/>
      <c r="H17" s="199"/>
      <c r="I17" s="199"/>
      <c r="J17" s="199"/>
      <c r="K17" s="176"/>
      <c r="L17" s="176"/>
      <c r="M17" s="176"/>
    </row>
    <row r="18" spans="2:13" x14ac:dyDescent="0.2">
      <c r="B18" s="196"/>
      <c r="C18" s="197"/>
      <c r="D18" s="200"/>
      <c r="E18" s="200"/>
      <c r="F18" s="200"/>
      <c r="G18" s="197"/>
      <c r="H18" s="199"/>
      <c r="I18" s="199"/>
      <c r="J18" s="199"/>
      <c r="K18" s="2"/>
      <c r="L18" s="2"/>
      <c r="M18" s="2"/>
    </row>
    <row r="19" spans="2:13" x14ac:dyDescent="0.2">
      <c r="B19" s="201"/>
      <c r="C19" s="202"/>
      <c r="D19" s="203"/>
      <c r="E19" s="202"/>
      <c r="F19" s="197"/>
      <c r="G19" s="197"/>
      <c r="H19" s="199"/>
      <c r="I19" s="199"/>
      <c r="J19" s="199"/>
      <c r="K19" s="2"/>
      <c r="L19" s="2"/>
      <c r="M19" s="2"/>
    </row>
    <row r="20" spans="2:13" x14ac:dyDescent="0.2">
      <c r="B20" s="196"/>
      <c r="C20" s="204"/>
      <c r="D20" s="204"/>
      <c r="E20" s="204"/>
      <c r="F20" s="197"/>
      <c r="G20" s="197"/>
      <c r="H20" s="199"/>
      <c r="I20" s="199"/>
      <c r="J20" s="199"/>
      <c r="K20" s="2"/>
      <c r="L20" s="2"/>
      <c r="M20" s="2"/>
    </row>
    <row r="21" spans="2:13" x14ac:dyDescent="0.2">
      <c r="B21" s="196"/>
      <c r="C21" s="205"/>
      <c r="D21" s="205"/>
      <c r="E21" s="205"/>
      <c r="F21" s="197"/>
      <c r="G21" s="197"/>
      <c r="H21" s="199"/>
      <c r="I21" s="199"/>
      <c r="J21" s="199"/>
      <c r="K21" s="2"/>
      <c r="L21" s="2"/>
      <c r="M21" s="2"/>
    </row>
    <row r="22" spans="2:13" x14ac:dyDescent="0.2">
      <c r="B22" s="206"/>
      <c r="C22" s="207"/>
      <c r="D22" s="207"/>
      <c r="E22" s="207"/>
      <c r="F22" s="197"/>
      <c r="G22" s="197"/>
      <c r="H22" s="199"/>
      <c r="I22" s="199"/>
      <c r="J22" s="199"/>
      <c r="K22" s="2"/>
      <c r="L22" s="2"/>
      <c r="M22" s="2"/>
    </row>
    <row r="23" spans="2:13" x14ac:dyDescent="0.2">
      <c r="B23" s="208"/>
      <c r="C23" s="208"/>
      <c r="D23" s="208"/>
      <c r="E23" s="208"/>
      <c r="F23" s="208"/>
      <c r="G23" s="208"/>
      <c r="H23" s="208"/>
      <c r="I23" s="208"/>
      <c r="J23" s="208"/>
      <c r="K23" s="2"/>
      <c r="L23" s="2"/>
      <c r="M23" s="2"/>
    </row>
    <row r="24" spans="2:13" x14ac:dyDescent="0.2">
      <c r="B24" s="188"/>
      <c r="C24" s="189"/>
      <c r="D24" s="189"/>
      <c r="E24" s="189"/>
      <c r="F24" s="189"/>
      <c r="G24" s="189"/>
      <c r="H24" s="189"/>
      <c r="I24" s="189"/>
      <c r="J24" s="189"/>
      <c r="K24" s="2"/>
      <c r="L24" s="2"/>
      <c r="M24" s="2"/>
    </row>
    <row r="25" spans="2:13" x14ac:dyDescent="0.2">
      <c r="B25" s="190"/>
      <c r="C25" s="191"/>
      <c r="D25" s="192"/>
      <c r="E25" s="192"/>
      <c r="F25" s="192"/>
      <c r="G25" s="193"/>
      <c r="H25" s="194"/>
      <c r="I25" s="194"/>
      <c r="J25" s="195"/>
      <c r="K25" s="2"/>
      <c r="L25" s="2"/>
      <c r="M25" s="2"/>
    </row>
    <row r="26" spans="2:13" x14ac:dyDescent="0.2">
      <c r="B26" s="190"/>
      <c r="C26" s="191"/>
      <c r="D26" s="192"/>
      <c r="E26" s="192"/>
      <c r="F26" s="192"/>
      <c r="G26" s="193"/>
      <c r="H26" s="194"/>
      <c r="I26" s="194"/>
      <c r="J26" s="195"/>
      <c r="K26" s="2"/>
      <c r="L26" s="2"/>
      <c r="M26" s="2"/>
    </row>
    <row r="27" spans="2:13" x14ac:dyDescent="0.2">
      <c r="B27" s="196"/>
      <c r="C27" s="197"/>
      <c r="D27" s="196"/>
      <c r="E27" s="196"/>
      <c r="F27" s="196"/>
      <c r="G27" s="196"/>
      <c r="H27" s="198"/>
      <c r="I27" s="198"/>
      <c r="J27" s="198"/>
      <c r="K27" s="2"/>
      <c r="L27" s="2"/>
      <c r="M27" s="2"/>
    </row>
    <row r="28" spans="2:13" x14ac:dyDescent="0.2">
      <c r="B28" s="196"/>
      <c r="C28" s="197"/>
      <c r="D28" s="197"/>
      <c r="E28" s="197"/>
      <c r="F28" s="197"/>
      <c r="G28" s="197"/>
      <c r="H28" s="199"/>
      <c r="I28" s="199"/>
      <c r="J28" s="199"/>
      <c r="K28" s="2"/>
      <c r="L28" s="2"/>
      <c r="M28" s="2"/>
    </row>
    <row r="29" spans="2:13" x14ac:dyDescent="0.2">
      <c r="B29" s="196"/>
      <c r="C29" s="197"/>
      <c r="D29" s="200"/>
      <c r="E29" s="200"/>
      <c r="F29" s="200"/>
      <c r="G29" s="197"/>
      <c r="H29" s="199"/>
      <c r="I29" s="199"/>
      <c r="J29" s="199"/>
      <c r="K29" s="2"/>
      <c r="L29" s="2"/>
      <c r="M29" s="2"/>
    </row>
    <row r="30" spans="2:13" x14ac:dyDescent="0.2">
      <c r="B30" s="201"/>
      <c r="C30" s="202"/>
      <c r="D30" s="203"/>
      <c r="E30" s="202"/>
      <c r="F30" s="197"/>
      <c r="G30" s="197"/>
      <c r="H30" s="199"/>
      <c r="I30" s="199"/>
      <c r="J30" s="199"/>
      <c r="K30" s="2"/>
      <c r="L30" s="2"/>
      <c r="M30" s="2"/>
    </row>
    <row r="31" spans="2:13" x14ac:dyDescent="0.2">
      <c r="B31" s="196"/>
      <c r="C31" s="204"/>
      <c r="D31" s="204"/>
      <c r="E31" s="204"/>
      <c r="F31" s="197"/>
      <c r="G31" s="197"/>
      <c r="H31" s="199"/>
      <c r="I31" s="199"/>
      <c r="J31" s="199"/>
      <c r="K31" s="2"/>
      <c r="L31" s="2"/>
      <c r="M31" s="2"/>
    </row>
    <row r="32" spans="2:13" x14ac:dyDescent="0.2">
      <c r="B32" s="196"/>
      <c r="C32" s="205"/>
      <c r="D32" s="205"/>
      <c r="E32" s="205"/>
      <c r="F32" s="197"/>
      <c r="G32" s="197"/>
      <c r="H32" s="199"/>
      <c r="I32" s="199"/>
      <c r="J32" s="199"/>
      <c r="K32" s="2"/>
      <c r="L32" s="2"/>
      <c r="M32" s="2"/>
    </row>
  </sheetData>
  <mergeCells count="5">
    <mergeCell ref="B2:M2"/>
    <mergeCell ref="B3:F3"/>
    <mergeCell ref="G3:I3"/>
    <mergeCell ref="J3:K3"/>
    <mergeCell ref="L3:M3"/>
  </mergeCells>
  <conditionalFormatting sqref="C14:J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:G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:H8 I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:I6 I8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8F1C3-7413-D94C-8E54-984B14964631}">
  <dimension ref="A1:J54"/>
  <sheetViews>
    <sheetView showGridLines="0" tabSelected="1" workbookViewId="0">
      <selection activeCell="J30" sqref="J30"/>
    </sheetView>
  </sheetViews>
  <sheetFormatPr baseColWidth="10" defaultRowHeight="16" x14ac:dyDescent="0.2"/>
  <sheetData>
    <row r="1" spans="1:10" x14ac:dyDescent="0.2">
      <c r="A1" s="170" t="s">
        <v>106</v>
      </c>
      <c r="B1" s="171" t="s">
        <v>105</v>
      </c>
      <c r="C1" s="171" t="s">
        <v>100</v>
      </c>
      <c r="D1" s="171" t="s">
        <v>101</v>
      </c>
      <c r="E1" s="171" t="s">
        <v>102</v>
      </c>
      <c r="F1" s="171" t="s">
        <v>103</v>
      </c>
      <c r="G1" s="172" t="s">
        <v>104</v>
      </c>
      <c r="H1" s="46"/>
      <c r="J1" s="46"/>
    </row>
    <row r="2" spans="1:10" x14ac:dyDescent="0.2">
      <c r="A2" s="86" t="s">
        <v>128</v>
      </c>
      <c r="B2" s="68">
        <v>44682</v>
      </c>
      <c r="C2" s="69">
        <v>18</v>
      </c>
      <c r="D2" s="69">
        <v>20.399999999999999</v>
      </c>
      <c r="E2" s="69">
        <v>15.9</v>
      </c>
      <c r="F2" s="70">
        <v>16.82</v>
      </c>
      <c r="G2" s="71">
        <v>28540000</v>
      </c>
    </row>
    <row r="3" spans="1:10" x14ac:dyDescent="0.2">
      <c r="A3" s="87">
        <f>AVERAGE(F2:F49)</f>
        <v>16.691875</v>
      </c>
      <c r="B3" s="68">
        <v>44713</v>
      </c>
      <c r="C3" s="69">
        <v>16.7</v>
      </c>
      <c r="D3" s="69">
        <v>17.100000000000001</v>
      </c>
      <c r="E3" s="69">
        <v>13.5</v>
      </c>
      <c r="F3" s="70">
        <v>14.21</v>
      </c>
      <c r="G3" s="71">
        <v>19820000</v>
      </c>
      <c r="H3" s="47"/>
      <c r="J3" s="48"/>
    </row>
    <row r="4" spans="1:10" x14ac:dyDescent="0.2">
      <c r="A4" s="86" t="s">
        <v>129</v>
      </c>
      <c r="B4" s="68">
        <v>44743</v>
      </c>
      <c r="C4" s="69">
        <v>14.3</v>
      </c>
      <c r="D4" s="69">
        <v>16.850000000000001</v>
      </c>
      <c r="E4" s="69">
        <v>13.8</v>
      </c>
      <c r="F4" s="70">
        <v>16.350000000000001</v>
      </c>
      <c r="G4" s="71">
        <v>16450000</v>
      </c>
      <c r="H4" s="47"/>
      <c r="J4" s="48"/>
    </row>
    <row r="5" spans="1:10" x14ac:dyDescent="0.2">
      <c r="A5" s="87">
        <f>MEDIAN(F2:F49)</f>
        <v>16.82</v>
      </c>
      <c r="B5" s="68">
        <v>44774</v>
      </c>
      <c r="C5" s="69">
        <v>16.5</v>
      </c>
      <c r="D5" s="69">
        <v>18.100000000000001</v>
      </c>
      <c r="E5" s="69">
        <v>15.6</v>
      </c>
      <c r="F5" s="70">
        <v>16.899999999999999</v>
      </c>
      <c r="G5" s="71">
        <v>14230000</v>
      </c>
      <c r="H5" s="47"/>
      <c r="J5" s="48"/>
    </row>
    <row r="6" spans="1:10" x14ac:dyDescent="0.2">
      <c r="A6" s="88"/>
      <c r="B6" s="68">
        <v>44805</v>
      </c>
      <c r="C6" s="69">
        <v>16.8</v>
      </c>
      <c r="D6" s="69">
        <v>17.2</v>
      </c>
      <c r="E6" s="69">
        <v>13.9</v>
      </c>
      <c r="F6" s="70">
        <v>14.1</v>
      </c>
      <c r="G6" s="71">
        <v>15670000</v>
      </c>
      <c r="H6" s="47"/>
      <c r="J6" s="48"/>
    </row>
    <row r="7" spans="1:10" x14ac:dyDescent="0.2">
      <c r="A7" s="88"/>
      <c r="B7" s="68">
        <v>44835</v>
      </c>
      <c r="C7" s="69">
        <v>14.2</v>
      </c>
      <c r="D7" s="69">
        <v>16.8</v>
      </c>
      <c r="E7" s="69">
        <v>13.85</v>
      </c>
      <c r="F7" s="70">
        <v>16.45</v>
      </c>
      <c r="G7" s="71">
        <v>13980000</v>
      </c>
      <c r="H7" s="47"/>
      <c r="J7" s="48"/>
    </row>
    <row r="8" spans="1:10" x14ac:dyDescent="0.2">
      <c r="A8" s="88"/>
      <c r="B8" s="68">
        <v>44866</v>
      </c>
      <c r="C8" s="69">
        <v>16.5</v>
      </c>
      <c r="D8" s="69">
        <v>18.2</v>
      </c>
      <c r="E8" s="69">
        <v>15.9</v>
      </c>
      <c r="F8" s="70">
        <v>17.850000000000001</v>
      </c>
      <c r="G8" s="71">
        <v>12760000</v>
      </c>
      <c r="H8" s="47"/>
      <c r="J8" s="48"/>
    </row>
    <row r="9" spans="1:10" x14ac:dyDescent="0.2">
      <c r="A9" s="88"/>
      <c r="B9" s="68">
        <v>44896</v>
      </c>
      <c r="C9" s="69">
        <v>17.7</v>
      </c>
      <c r="D9" s="69">
        <v>18.5</v>
      </c>
      <c r="E9" s="69">
        <v>15.5</v>
      </c>
      <c r="F9" s="70">
        <v>15.96</v>
      </c>
      <c r="G9" s="71">
        <v>11340000</v>
      </c>
      <c r="H9" s="47"/>
      <c r="J9" s="48"/>
    </row>
    <row r="10" spans="1:10" x14ac:dyDescent="0.2">
      <c r="A10" s="88"/>
      <c r="B10" s="68">
        <v>44927</v>
      </c>
      <c r="C10" s="69">
        <v>16.100000000000001</v>
      </c>
      <c r="D10" s="69">
        <v>18.600000000000001</v>
      </c>
      <c r="E10" s="69">
        <v>15.8</v>
      </c>
      <c r="F10" s="70">
        <v>18.2</v>
      </c>
      <c r="G10" s="71">
        <v>14120000</v>
      </c>
      <c r="H10" s="47"/>
      <c r="J10" s="48"/>
    </row>
    <row r="11" spans="1:10" x14ac:dyDescent="0.2">
      <c r="A11" s="88"/>
      <c r="B11" s="68">
        <v>44958</v>
      </c>
      <c r="C11" s="69">
        <v>18.100000000000001</v>
      </c>
      <c r="D11" s="69">
        <v>19.399999999999999</v>
      </c>
      <c r="E11" s="69">
        <v>17.2</v>
      </c>
      <c r="F11" s="70">
        <v>18.649999999999999</v>
      </c>
      <c r="G11" s="71">
        <v>11890000</v>
      </c>
      <c r="H11" s="47"/>
      <c r="J11" s="48"/>
    </row>
    <row r="12" spans="1:10" x14ac:dyDescent="0.2">
      <c r="A12" s="88"/>
      <c r="B12" s="68">
        <v>44986</v>
      </c>
      <c r="C12" s="69">
        <v>18.7</v>
      </c>
      <c r="D12" s="69">
        <v>20.100000000000001</v>
      </c>
      <c r="E12" s="69">
        <v>17.899999999999999</v>
      </c>
      <c r="F12" s="70">
        <v>19.5</v>
      </c>
      <c r="G12" s="71">
        <v>13450000</v>
      </c>
      <c r="H12" s="47"/>
      <c r="J12" s="48"/>
    </row>
    <row r="13" spans="1:10" x14ac:dyDescent="0.2">
      <c r="A13" s="88"/>
      <c r="B13" s="68">
        <v>45017</v>
      </c>
      <c r="C13" s="69">
        <v>19.600000000000001</v>
      </c>
      <c r="D13" s="69">
        <v>20.5</v>
      </c>
      <c r="E13" s="69">
        <v>18.399999999999999</v>
      </c>
      <c r="F13" s="70">
        <v>19.8</v>
      </c>
      <c r="G13" s="71">
        <v>10230000</v>
      </c>
      <c r="H13" s="47"/>
      <c r="J13" s="48"/>
    </row>
    <row r="14" spans="1:10" x14ac:dyDescent="0.2">
      <c r="A14" s="88"/>
      <c r="B14" s="68">
        <v>45047</v>
      </c>
      <c r="C14" s="69">
        <v>19.899999999999999</v>
      </c>
      <c r="D14" s="69">
        <v>20.8</v>
      </c>
      <c r="E14" s="69">
        <v>18.2</v>
      </c>
      <c r="F14" s="70">
        <v>19.2</v>
      </c>
      <c r="G14" s="71">
        <v>12340000</v>
      </c>
      <c r="H14" s="47"/>
      <c r="J14" s="48"/>
    </row>
    <row r="15" spans="1:10" x14ac:dyDescent="0.2">
      <c r="A15" s="88"/>
      <c r="B15" s="68">
        <v>45078</v>
      </c>
      <c r="C15" s="69">
        <v>19.3</v>
      </c>
      <c r="D15" s="69">
        <v>20.399999999999999</v>
      </c>
      <c r="E15" s="69">
        <v>18.100000000000001</v>
      </c>
      <c r="F15" s="70">
        <v>19.850000000000001</v>
      </c>
      <c r="G15" s="71">
        <v>11780000</v>
      </c>
      <c r="H15" s="47"/>
      <c r="J15" s="48"/>
    </row>
    <row r="16" spans="1:10" x14ac:dyDescent="0.2">
      <c r="A16" s="88"/>
      <c r="B16" s="68">
        <v>45108</v>
      </c>
      <c r="C16" s="69">
        <v>19.899999999999999</v>
      </c>
      <c r="D16" s="69">
        <v>21</v>
      </c>
      <c r="E16" s="69">
        <v>18.5</v>
      </c>
      <c r="F16" s="70">
        <v>18.899999999999999</v>
      </c>
      <c r="G16" s="71">
        <v>13560000</v>
      </c>
      <c r="H16" s="47"/>
      <c r="J16" s="48"/>
    </row>
    <row r="17" spans="1:10" x14ac:dyDescent="0.2">
      <c r="A17" s="88"/>
      <c r="B17" s="68">
        <v>45139</v>
      </c>
      <c r="C17" s="69">
        <v>18.8</v>
      </c>
      <c r="D17" s="69">
        <v>19.5</v>
      </c>
      <c r="E17" s="69">
        <v>17.2</v>
      </c>
      <c r="F17" s="70">
        <v>17.45</v>
      </c>
      <c r="G17" s="71">
        <v>10890000</v>
      </c>
      <c r="H17" s="47"/>
      <c r="J17" s="48"/>
    </row>
    <row r="18" spans="1:10" x14ac:dyDescent="0.2">
      <c r="A18" s="88"/>
      <c r="B18" s="68">
        <v>45170</v>
      </c>
      <c r="C18" s="69">
        <v>17.399999999999999</v>
      </c>
      <c r="D18" s="69">
        <v>17.899999999999999</v>
      </c>
      <c r="E18" s="69">
        <v>15.1</v>
      </c>
      <c r="F18" s="70">
        <v>15.3</v>
      </c>
      <c r="G18" s="71">
        <v>12340000</v>
      </c>
      <c r="H18" s="47"/>
      <c r="J18" s="48"/>
    </row>
    <row r="19" spans="1:10" x14ac:dyDescent="0.2">
      <c r="A19" s="88"/>
      <c r="B19" s="68">
        <v>45200</v>
      </c>
      <c r="C19" s="69">
        <v>15.2</v>
      </c>
      <c r="D19" s="69">
        <v>16.8</v>
      </c>
      <c r="E19" s="69">
        <v>13.5</v>
      </c>
      <c r="F19" s="70">
        <v>15.75</v>
      </c>
      <c r="G19" s="71">
        <v>13670000</v>
      </c>
      <c r="H19" s="47"/>
      <c r="J19" s="48"/>
    </row>
    <row r="20" spans="1:10" x14ac:dyDescent="0.2">
      <c r="A20" s="88"/>
      <c r="B20" s="68">
        <v>45231</v>
      </c>
      <c r="C20" s="69">
        <v>15.8</v>
      </c>
      <c r="D20" s="69">
        <v>17.2</v>
      </c>
      <c r="E20" s="69">
        <v>15.4</v>
      </c>
      <c r="F20" s="70">
        <v>16.899999999999999</v>
      </c>
      <c r="G20" s="71">
        <v>11230000</v>
      </c>
      <c r="H20" s="47"/>
      <c r="J20" s="48"/>
    </row>
    <row r="21" spans="1:10" x14ac:dyDescent="0.2">
      <c r="A21" s="88"/>
      <c r="B21" s="68">
        <v>45261</v>
      </c>
      <c r="C21" s="69">
        <v>16.95</v>
      </c>
      <c r="D21" s="69">
        <v>18.100000000000001</v>
      </c>
      <c r="E21" s="69">
        <v>16.5</v>
      </c>
      <c r="F21" s="70">
        <v>17.8</v>
      </c>
      <c r="G21" s="71">
        <v>10450000</v>
      </c>
      <c r="H21" s="47"/>
      <c r="J21" s="48"/>
    </row>
    <row r="22" spans="1:10" x14ac:dyDescent="0.2">
      <c r="A22" s="88"/>
      <c r="B22" s="68">
        <v>45292</v>
      </c>
      <c r="C22" s="69">
        <v>17.899999999999999</v>
      </c>
      <c r="D22" s="69">
        <v>18.899999999999999</v>
      </c>
      <c r="E22" s="69">
        <v>16.399999999999999</v>
      </c>
      <c r="F22" s="70">
        <v>16.8</v>
      </c>
      <c r="G22" s="71">
        <v>12340000</v>
      </c>
      <c r="H22" s="47"/>
      <c r="J22" s="48"/>
    </row>
    <row r="23" spans="1:10" x14ac:dyDescent="0.2">
      <c r="A23" s="88"/>
      <c r="B23" s="68">
        <v>45323</v>
      </c>
      <c r="C23" s="69">
        <v>16.850000000000001</v>
      </c>
      <c r="D23" s="69">
        <v>17.899999999999999</v>
      </c>
      <c r="E23" s="69">
        <v>15.8</v>
      </c>
      <c r="F23" s="70">
        <v>17.2</v>
      </c>
      <c r="G23" s="71">
        <v>10780000</v>
      </c>
      <c r="H23" s="47"/>
      <c r="J23" s="48"/>
    </row>
    <row r="24" spans="1:10" x14ac:dyDescent="0.2">
      <c r="A24" s="88"/>
      <c r="B24" s="68">
        <v>45352</v>
      </c>
      <c r="C24" s="69">
        <v>17.3</v>
      </c>
      <c r="D24" s="69">
        <v>18.5</v>
      </c>
      <c r="E24" s="69">
        <v>16.899999999999999</v>
      </c>
      <c r="F24" s="70">
        <v>18.2</v>
      </c>
      <c r="G24" s="71">
        <v>11230000</v>
      </c>
      <c r="H24" s="47"/>
      <c r="J24" s="48"/>
    </row>
    <row r="25" spans="1:10" x14ac:dyDescent="0.2">
      <c r="A25" s="88"/>
      <c r="B25" s="68">
        <v>45383</v>
      </c>
      <c r="C25" s="69">
        <v>18.100000000000001</v>
      </c>
      <c r="D25" s="69">
        <v>18.8</v>
      </c>
      <c r="E25" s="69">
        <v>16.5</v>
      </c>
      <c r="F25" s="70">
        <v>17.100000000000001</v>
      </c>
      <c r="G25" s="71">
        <v>10560000</v>
      </c>
      <c r="H25" s="47"/>
      <c r="J25" s="48"/>
    </row>
    <row r="26" spans="1:10" x14ac:dyDescent="0.2">
      <c r="A26" s="88"/>
      <c r="B26" s="68">
        <v>45413</v>
      </c>
      <c r="C26" s="69">
        <v>17.2</v>
      </c>
      <c r="D26" s="69">
        <v>17.899999999999999</v>
      </c>
      <c r="E26" s="69">
        <v>15.9</v>
      </c>
      <c r="F26" s="70">
        <v>16.45</v>
      </c>
      <c r="G26" s="71">
        <v>9870000</v>
      </c>
      <c r="H26" s="47"/>
      <c r="J26" s="48"/>
    </row>
    <row r="27" spans="1:10" x14ac:dyDescent="0.2">
      <c r="A27" s="88"/>
      <c r="B27" s="68">
        <v>45444</v>
      </c>
      <c r="C27" s="69">
        <v>16.5</v>
      </c>
      <c r="D27" s="69">
        <v>17.2</v>
      </c>
      <c r="E27" s="69">
        <v>15.2</v>
      </c>
      <c r="F27" s="70">
        <v>15.6</v>
      </c>
      <c r="G27" s="71">
        <v>10230000</v>
      </c>
      <c r="H27" s="47"/>
      <c r="J27" s="48"/>
    </row>
    <row r="28" spans="1:10" x14ac:dyDescent="0.2">
      <c r="A28" s="88"/>
      <c r="B28" s="68">
        <v>45474</v>
      </c>
      <c r="C28" s="69">
        <v>15.7</v>
      </c>
      <c r="D28" s="69">
        <v>16.8</v>
      </c>
      <c r="E28" s="69">
        <v>14.5</v>
      </c>
      <c r="F28" s="70">
        <v>16.2</v>
      </c>
      <c r="G28" s="71">
        <v>11450000</v>
      </c>
      <c r="H28" s="47"/>
      <c r="J28" s="48"/>
    </row>
    <row r="29" spans="1:10" x14ac:dyDescent="0.2">
      <c r="A29" s="88"/>
      <c r="B29" s="68">
        <v>45505</v>
      </c>
      <c r="C29" s="69">
        <v>16.3</v>
      </c>
      <c r="D29" s="69">
        <v>17.5</v>
      </c>
      <c r="E29" s="69">
        <v>15.8</v>
      </c>
      <c r="F29" s="70">
        <v>17.100000000000001</v>
      </c>
      <c r="G29" s="71">
        <v>10120000</v>
      </c>
      <c r="H29" s="47"/>
      <c r="J29" s="48"/>
    </row>
    <row r="30" spans="1:10" x14ac:dyDescent="0.2">
      <c r="A30" s="88"/>
      <c r="B30" s="68">
        <v>45536</v>
      </c>
      <c r="C30" s="69">
        <v>17.2</v>
      </c>
      <c r="D30" s="69">
        <v>18.100000000000001</v>
      </c>
      <c r="E30" s="69">
        <v>16.399999999999999</v>
      </c>
      <c r="F30" s="70">
        <v>17.5</v>
      </c>
      <c r="G30" s="71">
        <v>9780000</v>
      </c>
      <c r="H30" s="47"/>
      <c r="J30" s="48"/>
    </row>
    <row r="31" spans="1:10" x14ac:dyDescent="0.2">
      <c r="A31" s="88"/>
      <c r="B31" s="68">
        <v>45566</v>
      </c>
      <c r="C31" s="69">
        <v>17.600000000000001</v>
      </c>
      <c r="D31" s="69">
        <v>18.2</v>
      </c>
      <c r="E31" s="69">
        <v>16.8</v>
      </c>
      <c r="F31" s="70">
        <v>17.2</v>
      </c>
      <c r="G31" s="71">
        <v>10340000</v>
      </c>
      <c r="H31" s="47"/>
      <c r="J31" s="48"/>
    </row>
    <row r="32" spans="1:10" x14ac:dyDescent="0.2">
      <c r="A32" s="88"/>
      <c r="B32" s="68">
        <v>45597</v>
      </c>
      <c r="C32" s="69">
        <v>17.3</v>
      </c>
      <c r="D32" s="69">
        <v>17.899999999999999</v>
      </c>
      <c r="E32" s="69">
        <v>15.9</v>
      </c>
      <c r="F32" s="70">
        <v>16.5</v>
      </c>
      <c r="G32" s="71">
        <v>9560000</v>
      </c>
      <c r="H32" s="47"/>
      <c r="J32" s="48"/>
    </row>
    <row r="33" spans="1:10" x14ac:dyDescent="0.2">
      <c r="A33" s="88"/>
      <c r="B33" s="68">
        <v>45627</v>
      </c>
      <c r="C33" s="69">
        <v>16.600000000000001</v>
      </c>
      <c r="D33" s="69">
        <v>17.2</v>
      </c>
      <c r="E33" s="69">
        <v>15.1</v>
      </c>
      <c r="F33" s="70">
        <v>15.45</v>
      </c>
      <c r="G33" s="71">
        <v>10230000</v>
      </c>
      <c r="H33" s="47"/>
      <c r="J33" s="48"/>
    </row>
    <row r="34" spans="1:10" x14ac:dyDescent="0.2">
      <c r="A34" s="88"/>
      <c r="B34" s="68">
        <v>45658</v>
      </c>
      <c r="C34" s="69">
        <v>15.5</v>
      </c>
      <c r="D34" s="69">
        <v>16.8</v>
      </c>
      <c r="E34" s="69">
        <v>13.5</v>
      </c>
      <c r="F34" s="70">
        <v>14.2</v>
      </c>
      <c r="G34" s="71">
        <v>13450000</v>
      </c>
      <c r="H34" s="47"/>
      <c r="J34" s="48"/>
    </row>
    <row r="35" spans="1:10" x14ac:dyDescent="0.2">
      <c r="A35" s="88"/>
      <c r="B35" s="68">
        <v>45689</v>
      </c>
      <c r="C35" s="69">
        <v>14.3</v>
      </c>
      <c r="D35" s="69">
        <v>15.9</v>
      </c>
      <c r="E35" s="69">
        <v>13.2</v>
      </c>
      <c r="F35" s="70">
        <v>15.5</v>
      </c>
      <c r="G35" s="71">
        <v>11230000</v>
      </c>
      <c r="H35" s="47"/>
      <c r="J35" s="48"/>
    </row>
    <row r="36" spans="1:10" x14ac:dyDescent="0.2">
      <c r="A36" s="88"/>
      <c r="B36" s="68">
        <v>45717</v>
      </c>
      <c r="C36" s="69">
        <v>15.6</v>
      </c>
      <c r="D36" s="69">
        <v>16.5</v>
      </c>
      <c r="E36" s="69">
        <v>13.8</v>
      </c>
      <c r="F36" s="70">
        <v>14.8</v>
      </c>
      <c r="G36" s="71">
        <v>12560000</v>
      </c>
      <c r="H36" s="47"/>
    </row>
    <row r="37" spans="1:10" x14ac:dyDescent="0.2">
      <c r="A37" s="88"/>
      <c r="B37" s="68">
        <v>45748</v>
      </c>
      <c r="C37" s="69">
        <v>14.9</v>
      </c>
      <c r="D37" s="69">
        <v>15.8</v>
      </c>
      <c r="E37" s="69">
        <v>12.5</v>
      </c>
      <c r="F37" s="70">
        <v>13.2</v>
      </c>
      <c r="G37" s="71">
        <v>15340000</v>
      </c>
      <c r="H37" s="47"/>
    </row>
    <row r="38" spans="1:10" x14ac:dyDescent="0.2">
      <c r="A38" s="88"/>
      <c r="B38" s="68">
        <v>45778</v>
      </c>
      <c r="C38" s="69">
        <v>13.3</v>
      </c>
      <c r="D38" s="69">
        <v>14.8</v>
      </c>
      <c r="E38" s="69">
        <v>10.45</v>
      </c>
      <c r="F38" s="70">
        <v>12.8</v>
      </c>
      <c r="G38" s="71">
        <v>18670000</v>
      </c>
      <c r="H38" s="47"/>
      <c r="J38" s="48"/>
    </row>
    <row r="39" spans="1:10" x14ac:dyDescent="0.2">
      <c r="A39" s="88"/>
      <c r="B39" s="68">
        <v>45809</v>
      </c>
      <c r="C39" s="69">
        <v>12.9</v>
      </c>
      <c r="D39" s="69">
        <v>14.5</v>
      </c>
      <c r="E39" s="69">
        <v>12.1</v>
      </c>
      <c r="F39" s="70">
        <v>14.1</v>
      </c>
      <c r="G39" s="71">
        <v>14230000</v>
      </c>
      <c r="H39" s="47"/>
      <c r="J39" s="48"/>
    </row>
    <row r="40" spans="1:10" x14ac:dyDescent="0.2">
      <c r="A40" s="88"/>
      <c r="B40" s="68">
        <v>45839</v>
      </c>
      <c r="C40" s="69">
        <v>14.2</v>
      </c>
      <c r="D40" s="69">
        <v>15.8</v>
      </c>
      <c r="E40" s="69">
        <v>13.9</v>
      </c>
      <c r="F40" s="70">
        <v>15.5</v>
      </c>
      <c r="G40" s="71">
        <v>11890000</v>
      </c>
      <c r="H40" s="47"/>
      <c r="J40" s="48"/>
    </row>
    <row r="41" spans="1:10" x14ac:dyDescent="0.2">
      <c r="A41" s="88"/>
      <c r="B41" s="68">
        <v>45870</v>
      </c>
      <c r="C41" s="69">
        <v>15.6</v>
      </c>
      <c r="D41" s="69">
        <v>16.399999999999999</v>
      </c>
      <c r="E41" s="69">
        <v>14.8</v>
      </c>
      <c r="F41" s="70">
        <v>15.9</v>
      </c>
      <c r="G41" s="71">
        <v>10450000</v>
      </c>
      <c r="H41" s="47"/>
      <c r="J41" s="48"/>
    </row>
    <row r="42" spans="1:10" x14ac:dyDescent="0.2">
      <c r="A42" s="88"/>
      <c r="B42" s="68">
        <v>45901</v>
      </c>
      <c r="C42" s="69">
        <v>16</v>
      </c>
      <c r="D42" s="69">
        <v>16.8</v>
      </c>
      <c r="E42" s="69">
        <v>15.2</v>
      </c>
      <c r="F42" s="70">
        <v>16.399999999999999</v>
      </c>
      <c r="G42" s="71">
        <v>9780000</v>
      </c>
      <c r="H42" s="47"/>
      <c r="J42" s="48"/>
    </row>
    <row r="43" spans="1:10" x14ac:dyDescent="0.2">
      <c r="A43" s="88"/>
      <c r="B43" s="68">
        <v>45931</v>
      </c>
      <c r="C43" s="69">
        <v>16.5</v>
      </c>
      <c r="D43" s="69">
        <v>17.2</v>
      </c>
      <c r="E43" s="69">
        <v>15.8</v>
      </c>
      <c r="F43" s="70">
        <v>16.899999999999999</v>
      </c>
      <c r="G43" s="71">
        <v>10230000</v>
      </c>
      <c r="H43" s="47"/>
      <c r="J43" s="48"/>
    </row>
    <row r="44" spans="1:10" x14ac:dyDescent="0.2">
      <c r="A44" s="88"/>
      <c r="B44" s="68">
        <v>45962</v>
      </c>
      <c r="C44" s="69">
        <v>17</v>
      </c>
      <c r="D44" s="69">
        <v>18.91</v>
      </c>
      <c r="E44" s="69">
        <v>16.5</v>
      </c>
      <c r="F44" s="70">
        <v>18.5</v>
      </c>
      <c r="G44" s="71">
        <v>12340000</v>
      </c>
      <c r="H44" s="47"/>
      <c r="J44" s="48"/>
    </row>
    <row r="45" spans="1:10" x14ac:dyDescent="0.2">
      <c r="A45" s="88"/>
      <c r="B45" s="68">
        <v>45992</v>
      </c>
      <c r="C45" s="69">
        <v>18.600000000000001</v>
      </c>
      <c r="D45" s="69">
        <v>19.2</v>
      </c>
      <c r="E45" s="69">
        <v>16.8</v>
      </c>
      <c r="F45" s="70">
        <v>17.100000000000001</v>
      </c>
      <c r="G45" s="71">
        <v>11450000</v>
      </c>
      <c r="H45" s="47"/>
      <c r="J45" s="48"/>
    </row>
    <row r="46" spans="1:10" x14ac:dyDescent="0.2">
      <c r="A46" s="88"/>
      <c r="B46" s="68">
        <v>46023</v>
      </c>
      <c r="C46" s="69">
        <v>17.2</v>
      </c>
      <c r="D46" s="69">
        <v>18.600000000000001</v>
      </c>
      <c r="E46" s="69">
        <v>16.399999999999999</v>
      </c>
      <c r="F46" s="70">
        <v>18.05</v>
      </c>
      <c r="G46" s="71">
        <v>10890000</v>
      </c>
      <c r="H46" s="47"/>
      <c r="J46" s="48"/>
    </row>
    <row r="47" spans="1:10" x14ac:dyDescent="0.2">
      <c r="A47" s="88"/>
      <c r="B47" s="68">
        <v>46054</v>
      </c>
      <c r="C47" s="69">
        <v>16.41</v>
      </c>
      <c r="D47" s="69">
        <v>18.920000000000002</v>
      </c>
      <c r="E47" s="69">
        <v>16.25</v>
      </c>
      <c r="F47" s="70">
        <v>18.3</v>
      </c>
      <c r="G47" s="71">
        <v>13670000</v>
      </c>
      <c r="H47" s="47"/>
      <c r="J47" s="48"/>
    </row>
    <row r="48" spans="1:10" x14ac:dyDescent="0.2">
      <c r="A48" s="88"/>
      <c r="B48" s="68">
        <v>46082</v>
      </c>
      <c r="C48" s="69">
        <v>17.96</v>
      </c>
      <c r="D48" s="69">
        <v>18.420000000000002</v>
      </c>
      <c r="E48" s="69">
        <v>15.14</v>
      </c>
      <c r="F48" s="70">
        <v>15.9</v>
      </c>
      <c r="G48" s="71">
        <v>12340000</v>
      </c>
      <c r="H48" s="47"/>
      <c r="J48" s="48"/>
    </row>
    <row r="49" spans="1:10" ht="17" thickBot="1" x14ac:dyDescent="0.25">
      <c r="A49" s="89"/>
      <c r="B49" s="72">
        <v>46113</v>
      </c>
      <c r="C49" s="73">
        <v>16.07</v>
      </c>
      <c r="D49" s="73">
        <v>17.12</v>
      </c>
      <c r="E49" s="73">
        <v>15.89</v>
      </c>
      <c r="F49" s="74">
        <v>16.82</v>
      </c>
      <c r="G49" s="75">
        <v>3070000</v>
      </c>
      <c r="H49" s="47"/>
      <c r="J49" s="48"/>
    </row>
    <row r="50" spans="1:10" x14ac:dyDescent="0.2">
      <c r="B50" s="49"/>
      <c r="J50" s="48"/>
    </row>
    <row r="51" spans="1:10" x14ac:dyDescent="0.2">
      <c r="B51" s="49"/>
    </row>
    <row r="53" spans="1:10" x14ac:dyDescent="0.2">
      <c r="B53" s="49"/>
    </row>
    <row r="54" spans="1:10" x14ac:dyDescent="0.2">
      <c r="B54" s="4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BCLO</vt:lpstr>
      <vt:lpstr>Segment</vt:lpstr>
      <vt:lpstr>Industry &amp; Scenario</vt:lpstr>
      <vt:lpstr>Data</vt:lpstr>
      <vt:lpstr>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PURNOMO</dc:creator>
  <cp:lastModifiedBy>OWEN PURNOMO</cp:lastModifiedBy>
  <dcterms:created xsi:type="dcterms:W3CDTF">2026-04-18T14:10:59Z</dcterms:created>
  <dcterms:modified xsi:type="dcterms:W3CDTF">2026-07-09T01:31:38Z</dcterms:modified>
</cp:coreProperties>
</file>