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wenpurnomo/Desktop/BU Undergraduate/Spring 2026/Credit Analysis/Paramount/"/>
    </mc:Choice>
  </mc:AlternateContent>
  <xr:revisionPtr revIDLastSave="0" documentId="13_ncr:1_{26404841-8451-7443-8573-FBEB4EA574B4}" xr6:coauthVersionLast="47" xr6:coauthVersionMax="47" xr10:uidLastSave="{00000000-0000-0000-0000-000000000000}"/>
  <bookViews>
    <workbookView xWindow="0" yWindow="740" windowWidth="29400" windowHeight="17340" tabRatio="602" activeTab="2" xr2:uid="{00000000-000D-0000-FFFF-FFFF00000000}"/>
  </bookViews>
  <sheets>
    <sheet name="0000000" sheetId="1" state="veryHidden" r:id="rId1"/>
    <sheet name="Revenue Driver" sheetId="4" r:id="rId2"/>
    <sheet name="PSKY IS" sheetId="2" r:id="rId3"/>
    <sheet name="PSKY Bond" sheetId="6" r:id="rId4"/>
    <sheet name="Graphs &amp; Tables" sheetId="7" r:id="rId5"/>
  </sheets>
  <definedNames>
    <definedName name="_xlnm.Print_Area" localSheetId="3">'PSKY Bond'!$A$1:$A$56</definedName>
    <definedName name="_xlnm.Print_Area" localSheetId="2">'PSKY IS'!$A$1:$A$56</definedName>
    <definedName name="_xlnm.Print_Area" localSheetId="1">'Revenue Driver'!$B$1:$B$28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2" l="1"/>
  <c r="D41" i="2"/>
  <c r="B38" i="2"/>
  <c r="F47" i="2"/>
  <c r="E53" i="2"/>
  <c r="D47" i="2"/>
  <c r="C47" i="2"/>
  <c r="E47" i="2"/>
  <c r="B47" i="2"/>
  <c r="E31" i="2"/>
  <c r="B30" i="2"/>
  <c r="F27" i="2"/>
  <c r="B25" i="2"/>
  <c r="B20" i="2"/>
  <c r="D25" i="2"/>
  <c r="E19" i="2"/>
  <c r="B14" i="2"/>
  <c r="J43" i="4"/>
  <c r="I43" i="4"/>
  <c r="H43" i="4"/>
  <c r="G43" i="4"/>
  <c r="F43" i="4"/>
  <c r="E43" i="4"/>
  <c r="D43" i="4"/>
  <c r="C43" i="4"/>
  <c r="C66" i="4"/>
  <c r="C64" i="4"/>
  <c r="C65" i="4"/>
  <c r="C63" i="4"/>
  <c r="F29" i="4"/>
  <c r="C57" i="4"/>
  <c r="D34" i="6"/>
  <c r="G49" i="4"/>
  <c r="L47" i="4"/>
  <c r="G53" i="4"/>
  <c r="F7" i="2"/>
  <c r="F8" i="2"/>
  <c r="F9" i="2"/>
  <c r="H49" i="4"/>
  <c r="H53" i="4"/>
  <c r="G7" i="2"/>
  <c r="G8" i="2"/>
  <c r="G9" i="2"/>
  <c r="G27" i="2"/>
  <c r="I49" i="4"/>
  <c r="I53" i="4"/>
  <c r="H7" i="2"/>
  <c r="H8" i="2"/>
  <c r="H9" i="2"/>
  <c r="H27" i="2"/>
  <c r="J49" i="4"/>
  <c r="J53" i="4"/>
  <c r="I7" i="2"/>
  <c r="I8" i="2"/>
  <c r="I9" i="2"/>
  <c r="I27" i="2"/>
  <c r="J57" i="4"/>
  <c r="J63" i="4"/>
  <c r="J64" i="4"/>
  <c r="I16" i="2"/>
  <c r="I28" i="2"/>
  <c r="I19" i="2"/>
  <c r="I32" i="2"/>
  <c r="I33" i="2"/>
  <c r="I57" i="4"/>
  <c r="I63" i="4"/>
  <c r="I64" i="4"/>
  <c r="H16" i="2"/>
  <c r="H28" i="2"/>
  <c r="H19" i="2"/>
  <c r="H32" i="2"/>
  <c r="H33" i="2"/>
  <c r="H57" i="4"/>
  <c r="H63" i="4"/>
  <c r="H64" i="4"/>
  <c r="G16" i="2"/>
  <c r="G28" i="2"/>
  <c r="G19" i="2"/>
  <c r="G32" i="2"/>
  <c r="G33" i="2"/>
  <c r="G57" i="4"/>
  <c r="G63" i="4"/>
  <c r="G64" i="4"/>
  <c r="F16" i="2"/>
  <c r="F28" i="2"/>
  <c r="F19" i="2"/>
  <c r="F32" i="2"/>
  <c r="F33" i="2"/>
  <c r="E32" i="2"/>
  <c r="E33" i="2"/>
  <c r="D33" i="2"/>
  <c r="C33" i="2"/>
  <c r="B33" i="2"/>
  <c r="B32" i="2"/>
  <c r="I12" i="6"/>
  <c r="C55" i="2"/>
  <c r="I48" i="2"/>
  <c r="H48" i="2"/>
  <c r="G48" i="2"/>
  <c r="F48" i="2"/>
  <c r="F49" i="2"/>
  <c r="B49" i="2"/>
  <c r="I47" i="2"/>
  <c r="H47" i="2"/>
  <c r="G47" i="2"/>
  <c r="F42" i="4"/>
  <c r="J14" i="6"/>
  <c r="C30" i="2"/>
  <c r="D30" i="2"/>
  <c r="E30" i="2"/>
  <c r="F30" i="2"/>
  <c r="G30" i="2"/>
  <c r="H30" i="2"/>
  <c r="I30" i="2"/>
  <c r="F53" i="2"/>
  <c r="E64" i="4"/>
  <c r="E28" i="2"/>
  <c r="G48" i="4"/>
  <c r="H48" i="4"/>
  <c r="I48" i="4"/>
  <c r="J48" i="4"/>
  <c r="F48" i="4"/>
  <c r="L8" i="6"/>
  <c r="J12" i="6"/>
  <c r="F34" i="4"/>
  <c r="D28" i="2"/>
  <c r="C34" i="4"/>
  <c r="L9" i="6"/>
  <c r="L14" i="6"/>
  <c r="J13" i="6"/>
  <c r="L13" i="6"/>
  <c r="L12" i="6"/>
  <c r="J11" i="6"/>
  <c r="L11" i="6"/>
  <c r="C16" i="2"/>
  <c r="B29" i="2"/>
  <c r="D32" i="2"/>
  <c r="C32" i="2"/>
  <c r="D64" i="4"/>
  <c r="E65" i="4"/>
  <c r="E63" i="4"/>
  <c r="E29" i="4"/>
  <c r="D37" i="7"/>
  <c r="F55" i="2"/>
  <c r="F42" i="2"/>
  <c r="E37" i="7"/>
  <c r="G42" i="2"/>
  <c r="F37" i="7"/>
  <c r="H42" i="2"/>
  <c r="G37" i="7"/>
  <c r="J11" i="4"/>
  <c r="J12" i="4"/>
  <c r="J25" i="4"/>
  <c r="I5" i="2"/>
  <c r="J29" i="4"/>
  <c r="I42" i="2"/>
  <c r="H37" i="7"/>
  <c r="D36" i="7"/>
  <c r="F41" i="2"/>
  <c r="E36" i="7"/>
  <c r="G41" i="2"/>
  <c r="F36" i="7"/>
  <c r="H41" i="2"/>
  <c r="G36" i="7"/>
  <c r="I41" i="2"/>
  <c r="H36" i="7"/>
  <c r="E40" i="2"/>
  <c r="D35" i="7"/>
  <c r="F40" i="2"/>
  <c r="E35" i="7"/>
  <c r="G40" i="2"/>
  <c r="F35" i="7"/>
  <c r="H40" i="2"/>
  <c r="G35" i="7"/>
  <c r="I40" i="2"/>
  <c r="H35" i="7"/>
  <c r="E39" i="2"/>
  <c r="D34" i="7"/>
  <c r="F39" i="2"/>
  <c r="E34" i="7"/>
  <c r="G39" i="2"/>
  <c r="F34" i="7"/>
  <c r="H39" i="2"/>
  <c r="G34" i="7"/>
  <c r="I39" i="2"/>
  <c r="H34" i="7"/>
  <c r="E43" i="2"/>
  <c r="D38" i="7"/>
  <c r="F29" i="2"/>
  <c r="F43" i="2"/>
  <c r="E38" i="7"/>
  <c r="G29" i="2"/>
  <c r="G43" i="2"/>
  <c r="F38" i="7"/>
  <c r="H29" i="2"/>
  <c r="H43" i="2"/>
  <c r="G38" i="7"/>
  <c r="I29" i="2"/>
  <c r="I43" i="2"/>
  <c r="H38" i="7"/>
  <c r="C35" i="7"/>
  <c r="C36" i="7"/>
  <c r="C37" i="7"/>
  <c r="D43" i="2"/>
  <c r="C38" i="7"/>
  <c r="C34" i="7"/>
  <c r="D42" i="2"/>
  <c r="B40" i="2"/>
  <c r="C28" i="2"/>
  <c r="C39" i="2"/>
  <c r="D39" i="2"/>
  <c r="B39" i="2"/>
  <c r="C38" i="2"/>
  <c r="D38" i="2"/>
  <c r="E38" i="2"/>
  <c r="F38" i="2"/>
  <c r="G38" i="2"/>
  <c r="H38" i="2"/>
  <c r="I38" i="2"/>
  <c r="D33" i="7"/>
  <c r="E33" i="7"/>
  <c r="F33" i="7"/>
  <c r="G33" i="7"/>
  <c r="H33" i="7"/>
  <c r="C33" i="7"/>
  <c r="B33" i="7" a="1"/>
  <c r="B33" i="7"/>
  <c r="D9" i="7"/>
  <c r="D17" i="7"/>
  <c r="D27" i="7"/>
  <c r="D24" i="7"/>
  <c r="E24" i="7"/>
  <c r="F24" i="7"/>
  <c r="G7" i="7"/>
  <c r="G8" i="7"/>
  <c r="G16" i="7"/>
  <c r="G24" i="7"/>
  <c r="H7" i="7"/>
  <c r="H8" i="7"/>
  <c r="H16" i="7"/>
  <c r="H24" i="7"/>
  <c r="I7" i="7"/>
  <c r="I8" i="7"/>
  <c r="I16" i="7"/>
  <c r="I24" i="7"/>
  <c r="J5" i="7"/>
  <c r="J7" i="7"/>
  <c r="J8" i="7"/>
  <c r="J16" i="7"/>
  <c r="J24" i="7"/>
  <c r="D23" i="7"/>
  <c r="E23" i="7"/>
  <c r="F23" i="7"/>
  <c r="G15" i="7"/>
  <c r="G23" i="7"/>
  <c r="H15" i="7"/>
  <c r="H23" i="7"/>
  <c r="I15" i="7"/>
  <c r="I23" i="7"/>
  <c r="J15" i="7"/>
  <c r="J23" i="7"/>
  <c r="C24" i="7"/>
  <c r="D22" i="7"/>
  <c r="E22" i="7"/>
  <c r="F22" i="7"/>
  <c r="G14" i="7"/>
  <c r="G22" i="7"/>
  <c r="H14" i="7"/>
  <c r="H22" i="7"/>
  <c r="I14" i="7"/>
  <c r="I22" i="7"/>
  <c r="J14" i="7"/>
  <c r="J22" i="7"/>
  <c r="C20" i="2"/>
  <c r="C25" i="2"/>
  <c r="D11" i="7"/>
  <c r="D19" i="7"/>
  <c r="D29" i="7"/>
  <c r="E29" i="7"/>
  <c r="E20" i="2"/>
  <c r="E25" i="2"/>
  <c r="F11" i="7"/>
  <c r="F19" i="7"/>
  <c r="F29" i="7"/>
  <c r="F20" i="2"/>
  <c r="F25" i="2"/>
  <c r="G11" i="7"/>
  <c r="G19" i="7"/>
  <c r="G29" i="7"/>
  <c r="G20" i="2"/>
  <c r="G25" i="2"/>
  <c r="H11" i="7"/>
  <c r="H19" i="7"/>
  <c r="H29" i="7"/>
  <c r="H20" i="2"/>
  <c r="H25" i="2"/>
  <c r="I11" i="7"/>
  <c r="I19" i="7"/>
  <c r="I29" i="7"/>
  <c r="I20" i="2"/>
  <c r="I25" i="2"/>
  <c r="J11" i="7"/>
  <c r="J19" i="7"/>
  <c r="J29" i="7"/>
  <c r="D10" i="7"/>
  <c r="D18" i="7"/>
  <c r="D28" i="7"/>
  <c r="E28" i="7"/>
  <c r="F28" i="7"/>
  <c r="G10" i="7"/>
  <c r="G18" i="7"/>
  <c r="G28" i="7"/>
  <c r="H10" i="7"/>
  <c r="H18" i="7"/>
  <c r="H28" i="7"/>
  <c r="I10" i="7"/>
  <c r="I18" i="7"/>
  <c r="I28" i="7"/>
  <c r="J10" i="7"/>
  <c r="J18" i="7"/>
  <c r="J28" i="7"/>
  <c r="E27" i="7"/>
  <c r="F27" i="7"/>
  <c r="G9" i="7"/>
  <c r="G17" i="7"/>
  <c r="G27" i="7"/>
  <c r="H9" i="7"/>
  <c r="H17" i="7"/>
  <c r="H27" i="7"/>
  <c r="I9" i="7"/>
  <c r="I17" i="7"/>
  <c r="I27" i="7"/>
  <c r="J9" i="7"/>
  <c r="J17" i="7"/>
  <c r="J27" i="7"/>
  <c r="C28" i="7"/>
  <c r="C29" i="7"/>
  <c r="C27" i="7"/>
  <c r="B27" i="7" a="1"/>
  <c r="B27" i="7"/>
  <c r="C23" i="7"/>
  <c r="C22" i="7"/>
  <c r="B23" i="7"/>
  <c r="B24" i="7"/>
  <c r="B22" i="7"/>
  <c r="E19" i="7"/>
  <c r="C19" i="7"/>
  <c r="E18" i="7"/>
  <c r="F18" i="7"/>
  <c r="C18" i="7"/>
  <c r="E17" i="7"/>
  <c r="F17" i="7"/>
  <c r="C17" i="7"/>
  <c r="D16" i="7"/>
  <c r="E16" i="7"/>
  <c r="F16" i="7"/>
  <c r="C16" i="7"/>
  <c r="D6" i="7"/>
  <c r="D5" i="7"/>
  <c r="D7" i="7"/>
  <c r="D8" i="7"/>
  <c r="D15" i="7"/>
  <c r="E6" i="7"/>
  <c r="E5" i="7"/>
  <c r="E7" i="7"/>
  <c r="E8" i="7"/>
  <c r="E15" i="7"/>
  <c r="F6" i="7"/>
  <c r="F5" i="7"/>
  <c r="F7" i="7"/>
  <c r="F8" i="7"/>
  <c r="F15" i="7"/>
  <c r="G6" i="7"/>
  <c r="G5" i="7"/>
  <c r="H6" i="7"/>
  <c r="H5" i="7"/>
  <c r="I6" i="7"/>
  <c r="I5" i="7"/>
  <c r="J6" i="7"/>
  <c r="C6" i="7"/>
  <c r="C5" i="7"/>
  <c r="C7" i="7"/>
  <c r="C8" i="7"/>
  <c r="C15" i="7"/>
  <c r="D14" i="7"/>
  <c r="E14" i="7"/>
  <c r="F14" i="7"/>
  <c r="C14" i="7"/>
  <c r="E11" i="7"/>
  <c r="C11" i="7"/>
  <c r="E10" i="7"/>
  <c r="F10" i="7"/>
  <c r="C10" i="7"/>
  <c r="E9" i="7"/>
  <c r="F9" i="7"/>
  <c r="C9" i="7"/>
  <c r="D55" i="2"/>
  <c r="E66" i="4"/>
  <c r="G42" i="4"/>
  <c r="G34" i="4"/>
  <c r="E34" i="4"/>
  <c r="J33" i="4"/>
  <c r="I33" i="4"/>
  <c r="H33" i="4"/>
  <c r="I29" i="4"/>
  <c r="H29" i="4"/>
  <c r="G29" i="4"/>
  <c r="D29" i="4"/>
  <c r="C29" i="4"/>
  <c r="C28" i="4"/>
  <c r="G7" i="4"/>
  <c r="D32" i="6"/>
  <c r="G53" i="2"/>
  <c r="H53" i="2"/>
  <c r="I53" i="2"/>
  <c r="D16" i="2"/>
  <c r="D54" i="4"/>
  <c r="D57" i="4"/>
  <c r="D40" i="4"/>
  <c r="D26" i="4"/>
  <c r="D63" i="4"/>
  <c r="E54" i="4"/>
  <c r="E57" i="4"/>
  <c r="E40" i="4"/>
  <c r="E26" i="4"/>
  <c r="E5" i="2"/>
  <c r="E6" i="2"/>
  <c r="E7" i="2"/>
  <c r="E8" i="2"/>
  <c r="D5" i="2"/>
  <c r="D6" i="2"/>
  <c r="D7" i="2"/>
  <c r="D8" i="2"/>
  <c r="E9" i="2"/>
  <c r="E27" i="2"/>
  <c r="F54" i="4"/>
  <c r="F57" i="4"/>
  <c r="F40" i="4"/>
  <c r="F63" i="4"/>
  <c r="F64" i="4"/>
  <c r="E16" i="2"/>
  <c r="G11" i="4"/>
  <c r="G12" i="4"/>
  <c r="G25" i="4"/>
  <c r="F5" i="2"/>
  <c r="G36" i="4"/>
  <c r="G32" i="4"/>
  <c r="G37" i="4"/>
  <c r="G38" i="4"/>
  <c r="G39" i="4"/>
  <c r="F6" i="2"/>
  <c r="F56" i="4"/>
  <c r="H7" i="4"/>
  <c r="H11" i="4"/>
  <c r="H12" i="4"/>
  <c r="H25" i="4"/>
  <c r="G5" i="2"/>
  <c r="H36" i="4"/>
  <c r="H32" i="4"/>
  <c r="H37" i="4"/>
  <c r="H38" i="4"/>
  <c r="H39" i="4"/>
  <c r="G6" i="2"/>
  <c r="H56" i="4"/>
  <c r="H42" i="4"/>
  <c r="H59" i="4"/>
  <c r="I7" i="4"/>
  <c r="I11" i="4"/>
  <c r="I12" i="4"/>
  <c r="I25" i="4"/>
  <c r="H5" i="2"/>
  <c r="I36" i="4"/>
  <c r="I32" i="4"/>
  <c r="I37" i="4"/>
  <c r="I38" i="4"/>
  <c r="I39" i="4"/>
  <c r="H6" i="2"/>
  <c r="I56" i="4"/>
  <c r="I42" i="4"/>
  <c r="I59" i="4"/>
  <c r="J7" i="4"/>
  <c r="J36" i="4"/>
  <c r="J32" i="4"/>
  <c r="J37" i="4"/>
  <c r="J38" i="4"/>
  <c r="J39" i="4"/>
  <c r="I6" i="2"/>
  <c r="J56" i="4"/>
  <c r="J42" i="4"/>
  <c r="J59" i="4"/>
  <c r="C54" i="4"/>
  <c r="C40" i="4"/>
  <c r="C26" i="4"/>
  <c r="B16" i="2"/>
  <c r="G31" i="2"/>
  <c r="F31" i="2"/>
  <c r="D20" i="2"/>
  <c r="J51" i="4"/>
  <c r="I51" i="4"/>
  <c r="H51" i="4"/>
  <c r="G18" i="4"/>
  <c r="H18" i="4"/>
  <c r="J18" i="4"/>
  <c r="I18" i="4"/>
  <c r="I16" i="4"/>
  <c r="J16" i="4"/>
  <c r="H16" i="4"/>
  <c r="I35" i="4"/>
  <c r="J35" i="4"/>
  <c r="H35" i="4"/>
  <c r="C48" i="4"/>
  <c r="D66" i="4"/>
  <c r="F66" i="4"/>
  <c r="G62" i="4"/>
  <c r="G66" i="4"/>
  <c r="H34" i="4"/>
  <c r="H17" i="4"/>
  <c r="H20" i="4"/>
  <c r="H62" i="4"/>
  <c r="H66" i="4"/>
  <c r="I34" i="4"/>
  <c r="I17" i="4"/>
  <c r="I20" i="4"/>
  <c r="I62" i="4"/>
  <c r="I66" i="4"/>
  <c r="J34" i="4"/>
  <c r="J17" i="4"/>
  <c r="J20" i="4"/>
  <c r="J62" i="4"/>
  <c r="J66" i="4"/>
  <c r="E35" i="4"/>
  <c r="E39" i="4"/>
  <c r="E53" i="4"/>
  <c r="E62" i="4"/>
  <c r="E42" i="4"/>
  <c r="D34" i="4"/>
  <c r="F49" i="4"/>
  <c r="F51" i="4"/>
  <c r="G51" i="4"/>
  <c r="F12" i="2"/>
  <c r="F11" i="2"/>
  <c r="F62" i="4"/>
  <c r="F13" i="2"/>
  <c r="F14" i="2"/>
  <c r="F15" i="2"/>
  <c r="H52" i="4"/>
  <c r="H50" i="4"/>
  <c r="G12" i="2"/>
  <c r="G11" i="2"/>
  <c r="G13" i="2"/>
  <c r="G14" i="2"/>
  <c r="G15" i="2"/>
  <c r="I52" i="4"/>
  <c r="I50" i="4"/>
  <c r="H12" i="2"/>
  <c r="H11" i="2"/>
  <c r="H13" i="2"/>
  <c r="H14" i="2"/>
  <c r="H15" i="2"/>
  <c r="J52" i="4"/>
  <c r="J50" i="4"/>
  <c r="I12" i="2"/>
  <c r="I11" i="2"/>
  <c r="I13" i="2"/>
  <c r="I14" i="2"/>
  <c r="I15" i="2"/>
  <c r="C5" i="2"/>
  <c r="C6" i="2"/>
  <c r="D53" i="4"/>
  <c r="C7" i="2"/>
  <c r="C8" i="2"/>
  <c r="B5" i="2"/>
  <c r="B6" i="2"/>
  <c r="C53" i="4"/>
  <c r="B7" i="2"/>
  <c r="B8" i="2"/>
  <c r="C9" i="2"/>
  <c r="D62" i="4"/>
  <c r="C11" i="2"/>
  <c r="C12" i="2"/>
  <c r="C13" i="2"/>
  <c r="C14" i="2"/>
  <c r="C15" i="2"/>
  <c r="I49" i="2"/>
  <c r="I55" i="2"/>
  <c r="I31" i="2"/>
  <c r="E18" i="2"/>
  <c r="F18" i="2"/>
  <c r="G18" i="2"/>
  <c r="H18" i="2"/>
  <c r="I18" i="2"/>
  <c r="E21" i="2"/>
  <c r="F21" i="2"/>
  <c r="G21" i="2"/>
  <c r="H21" i="2"/>
  <c r="I21" i="2"/>
  <c r="E22" i="2"/>
  <c r="F22" i="2"/>
  <c r="G22" i="2"/>
  <c r="H22" i="2"/>
  <c r="I22" i="2"/>
  <c r="J65" i="4"/>
  <c r="J54" i="4"/>
  <c r="J40" i="4"/>
  <c r="J28" i="4"/>
  <c r="I26" i="4"/>
  <c r="J26" i="4"/>
  <c r="J23" i="4"/>
  <c r="J22" i="4"/>
  <c r="J19" i="4"/>
  <c r="J15" i="4"/>
  <c r="J14" i="4"/>
  <c r="J8" i="4"/>
  <c r="C49" i="2"/>
  <c r="E49" i="2"/>
  <c r="E55" i="2"/>
  <c r="G49" i="2"/>
  <c r="G55" i="2"/>
  <c r="H49" i="2"/>
  <c r="H55" i="2"/>
  <c r="D49" i="2"/>
  <c r="C62" i="4"/>
  <c r="G20" i="4"/>
  <c r="F20" i="4"/>
  <c r="E20" i="4"/>
  <c r="D20" i="4"/>
  <c r="C20" i="4"/>
  <c r="F12" i="4"/>
  <c r="E12" i="4"/>
  <c r="D12" i="4"/>
  <c r="C12" i="4"/>
  <c r="G52" i="4"/>
  <c r="E17" i="4"/>
  <c r="D17" i="4"/>
  <c r="E18" i="4"/>
  <c r="C17" i="4"/>
  <c r="D18" i="4"/>
  <c r="C11" i="4"/>
  <c r="D11" i="4"/>
  <c r="D25" i="4"/>
  <c r="D39" i="4"/>
  <c r="C25" i="4"/>
  <c r="C39" i="4"/>
  <c r="C40" i="2"/>
  <c r="E11" i="4"/>
  <c r="E25" i="4"/>
  <c r="D14" i="2"/>
  <c r="F17" i="4"/>
  <c r="F11" i="4"/>
  <c r="F23" i="4"/>
  <c r="F25" i="4"/>
  <c r="F36" i="4"/>
  <c r="F37" i="4"/>
  <c r="F38" i="4"/>
  <c r="F39" i="4"/>
  <c r="E11" i="2"/>
  <c r="E12" i="2"/>
  <c r="E13" i="2"/>
  <c r="E14" i="2"/>
  <c r="G23" i="4"/>
  <c r="G14" i="4"/>
  <c r="G17" i="4"/>
  <c r="F32" i="4"/>
  <c r="H22" i="4"/>
  <c r="H23" i="4"/>
  <c r="H8" i="4"/>
  <c r="H15" i="4"/>
  <c r="H14" i="4"/>
  <c r="H28" i="4"/>
  <c r="I22" i="4"/>
  <c r="I23" i="4"/>
  <c r="I8" i="4"/>
  <c r="I15" i="4"/>
  <c r="I14" i="4"/>
  <c r="I28" i="4"/>
  <c r="B9" i="2"/>
  <c r="B11" i="2"/>
  <c r="B12" i="2"/>
  <c r="B13" i="2"/>
  <c r="B15" i="2"/>
  <c r="H31" i="2"/>
  <c r="C29" i="2"/>
  <c r="D65" i="4"/>
  <c r="F65" i="4"/>
  <c r="G65" i="4"/>
  <c r="H65" i="4"/>
  <c r="I65" i="4"/>
  <c r="F41" i="4"/>
  <c r="F55" i="4"/>
  <c r="D42" i="4"/>
  <c r="G40" i="4"/>
  <c r="C42" i="4"/>
  <c r="F26" i="4"/>
  <c r="D28" i="4"/>
  <c r="C56" i="4"/>
  <c r="D56" i="4"/>
  <c r="G54" i="4"/>
  <c r="H54" i="4"/>
  <c r="I54" i="4"/>
  <c r="G26" i="4"/>
  <c r="H26" i="4"/>
  <c r="H40" i="4"/>
  <c r="I40" i="4"/>
  <c r="C52" i="4"/>
  <c r="E52" i="4"/>
  <c r="F52" i="4"/>
  <c r="D52" i="4"/>
  <c r="E48" i="4"/>
  <c r="D48" i="4"/>
  <c r="F33" i="4"/>
  <c r="D22" i="4"/>
  <c r="C15" i="4"/>
  <c r="C19" i="4"/>
  <c r="C22" i="4"/>
  <c r="C33" i="4"/>
  <c r="C35" i="4"/>
  <c r="D35" i="4"/>
  <c r="D33" i="4"/>
  <c r="D19" i="4"/>
  <c r="D15" i="4"/>
  <c r="E33" i="4"/>
  <c r="F18" i="4"/>
  <c r="F19" i="4"/>
  <c r="E19" i="4"/>
  <c r="E15" i="4"/>
  <c r="F15" i="4"/>
  <c r="F22" i="4"/>
  <c r="E22" i="4"/>
  <c r="G19" i="4"/>
  <c r="H19" i="4"/>
  <c r="I19" i="4"/>
  <c r="F50" i="4"/>
  <c r="D9" i="2"/>
  <c r="D11" i="2"/>
  <c r="D12" i="2"/>
  <c r="D13" i="2"/>
  <c r="D15" i="2"/>
  <c r="E15" i="2"/>
  <c r="E29" i="2"/>
  <c r="D29" i="2"/>
  <c r="E42" i="2"/>
  <c r="E41" i="2"/>
  <c r="D40" i="2"/>
  <c r="E28" i="4"/>
  <c r="E56" i="4"/>
  <c r="F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Owen Purnomo</author>
  </authors>
  <commentList>
    <comment ref="G7" authorId="0" shapeId="0" xr:uid="{89DB03A8-F7C8-A54B-AC8E-E41A6067FC07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Average of 2022 to 2025
</t>
        </r>
      </text>
    </comment>
    <comment ref="E9" authorId="0" shapeId="0" xr:uid="{9BCA87AB-0FB6-0946-A3CC-49496A8BCF34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Presidential Election: </t>
        </r>
        <r>
          <rPr>
            <sz val="10"/>
            <color rgb="FF000000"/>
            <rFont val="Arial"/>
            <family val="2"/>
          </rPr>
          <t xml:space="preserve">3% from higher political advertising as a result of the 2024 U.S. Presidential election (Revenues II-17)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9" authorId="0" shapeId="0" xr:uid="{1CC871D7-5508-304C-89E7-B6ABA1EB56C7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Presidential Election: Based on precedence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0" authorId="0" shapeId="0" xr:uid="{7FBE4D98-2C8B-CF43-B4C4-CB5F7818632F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Superbowl aired on NBC, not CBS
</t>
        </r>
      </text>
    </comment>
    <comment ref="E10" authorId="0" shapeId="0" xr:uid="{6294CE12-DCBB-E747-B3A9-3FDA7934883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Super Bowl: </t>
        </r>
        <r>
          <rPr>
            <sz val="10"/>
            <color rgb="FF000000"/>
            <rFont val="Arial"/>
            <family val="2"/>
          </rPr>
          <t xml:space="preserve">The comparison reflects increases of 7% from CBS’
</t>
        </r>
        <r>
          <rPr>
            <sz val="10"/>
            <color rgb="FF000000"/>
            <rFont val="Arial"/>
            <family val="2"/>
          </rPr>
          <t xml:space="preserve">broadcast of </t>
        </r>
        <r>
          <rPr>
            <i/>
            <sz val="10"/>
            <color rgb="FF000000"/>
            <rFont val="Arial"/>
            <family val="2"/>
          </rPr>
          <t>Super Bowl LVIII</t>
        </r>
        <r>
          <rPr>
            <sz val="10"/>
            <color rgb="FF000000"/>
            <rFont val="Arial"/>
            <family val="2"/>
          </rPr>
          <t xml:space="preserve"> in the first quarter of 2024 (Revenues II-17)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15" authorId="0" shapeId="0" xr:uid="{5A7A7567-ECC6-3949-86D0-5736949C609E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Based on 2024 and 2025
</t>
        </r>
      </text>
    </comment>
    <comment ref="G22" authorId="0" shapeId="0" xr:uid="{FA1CA145-3655-4A41-AB87-218B0CBC29C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Conservative measure based on the decline of TV advertising and Affiliate. Licensing moving from Tv Media to Paramount+
</t>
        </r>
      </text>
    </comment>
    <comment ref="G28" authorId="0" shapeId="0" xr:uid="{080BCE4A-22BD-DB41-9284-C350787C8850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Conservative measures based on 2022 to 2025 EBIT Margins
</t>
        </r>
      </text>
    </comment>
    <comment ref="G35" authorId="0" shapeId="0" xr:uid="{E4E88264-A7E8-7140-89EE-2CD3BB9A369D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 the streaming Industry gets much more compeitive. Expected price wars and competition increase in the upcoming years.
</t>
        </r>
      </text>
    </comment>
    <comment ref="G42" authorId="0" shapeId="0" xr:uid="{AD9C3AF6-E754-E548-9E52-2323AE23165A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Lower single digit EBIT Margins comparable to compeittors in the industry
</t>
        </r>
      </text>
    </comment>
    <comment ref="G46" authorId="0" shapeId="0" xr:uid="{542C46D0-B180-964B-BB5B-4C148AB5B86E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Scream 7
</t>
        </r>
        <r>
          <rPr>
            <sz val="10"/>
            <color rgb="FF000000"/>
            <rFont val="Arial"/>
            <family val="2"/>
          </rPr>
          <t xml:space="preserve">Scary Movie 6
</t>
        </r>
        <r>
          <rPr>
            <sz val="10"/>
            <color rgb="FF000000"/>
            <rFont val="Arial"/>
            <family val="2"/>
          </rPr>
          <t xml:space="preserve">Jackass 5
</t>
        </r>
        <r>
          <rPr>
            <sz val="10"/>
            <color rgb="FF000000"/>
            <rFont val="Arial"/>
            <family val="2"/>
          </rPr>
          <t xml:space="preserve">PAW Patrol: The Dino Movie
</t>
        </r>
        <r>
          <rPr>
            <sz val="10"/>
            <color rgb="FF000000"/>
            <rFont val="Arial"/>
            <family val="2"/>
          </rPr>
          <t xml:space="preserve">Street Fighter
</t>
        </r>
        <r>
          <rPr>
            <sz val="10"/>
            <color rgb="FF000000"/>
            <rFont val="Arial"/>
            <family val="2"/>
          </rPr>
          <t xml:space="preserve">The Angry Birds Movie 3
</t>
        </r>
        <r>
          <rPr>
            <sz val="10"/>
            <color rgb="FF000000"/>
            <rFont val="Arial"/>
            <family val="2"/>
          </rPr>
          <t xml:space="preserve">Focker In-Law
</t>
        </r>
        <r>
          <rPr>
            <sz val="10"/>
            <color rgb="FF000000"/>
            <rFont val="Arial"/>
            <family val="2"/>
          </rPr>
          <t xml:space="preserve">Ebenezer: A Christmas Carol
</t>
        </r>
        <r>
          <rPr>
            <sz val="10"/>
            <color rgb="FF000000"/>
            <rFont val="Arial"/>
            <family val="2"/>
          </rPr>
          <t xml:space="preserve">Primate
</t>
        </r>
        <r>
          <rPr>
            <sz val="10"/>
            <color rgb="FF000000"/>
            <rFont val="Arial"/>
            <family val="2"/>
          </rPr>
          <t xml:space="preserve">Passenger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Found these by looking for trailers friom youtube
</t>
        </r>
      </text>
    </comment>
    <comment ref="H46" authorId="0" shapeId="0" xr:uid="{8BEAFF12-9A23-324A-8AE6-F11DE5BA6C52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Sonic the Hedgehog 4
</t>
        </r>
        <r>
          <rPr>
            <sz val="10"/>
            <color rgb="FF000000"/>
            <rFont val="Arial"/>
            <family val="2"/>
          </rPr>
          <t xml:space="preserve">A Quiet Place Part III
</t>
        </r>
        <r>
          <rPr>
            <sz val="10"/>
            <color rgb="FF000000"/>
            <rFont val="Arial"/>
            <family val="2"/>
          </rPr>
          <t xml:space="preserve">Helldivers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Found these by looking for trailers friom youtube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46" authorId="0" shapeId="0" xr:uid="{BAC02311-2FE0-3847-85C4-1CA69D89DCE4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Sonic Universe Film (spin-off)
</t>
        </r>
        <r>
          <rPr>
            <sz val="10"/>
            <color rgb="FF000000"/>
            <rFont val="Arial"/>
            <family val="2"/>
          </rPr>
          <t xml:space="preserve">Teenage Mutant Ninja Turtles sequel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47" authorId="0" shapeId="0" xr:uid="{F4D67C96-9971-2E47-8EFF-4FB9822F4073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Assumes one moderate franchise hit adding a conservative 5% revenue uplift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47" authorId="0" shapeId="0" xr:uid="{E6D049CD-3C58-424F-8290-D595FC298FBD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Assumes one strong sequel year driving a 10% temporary revenue uplift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47" authorId="0" shapeId="0" xr:uid="{E684DD75-0DF0-C84D-9ACB-0160D3920BB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Assumes continued franchise support with a 5
</t>
        </r>
        <r>
          <rPr>
            <sz val="10"/>
            <color rgb="FF000000"/>
            <rFont val="Arial"/>
            <family val="2"/>
          </rPr>
          <t>% revenue uplift</t>
        </r>
      </text>
    </comment>
    <comment ref="G50" authorId="0" shapeId="0" xr:uid="{4FB02178-6A80-0243-A632-92FF2EF2A248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Based on precedence from 2022 to 205
</t>
        </r>
      </text>
    </comment>
    <comment ref="G56" authorId="0" shapeId="0" xr:uid="{0A33BD48-0065-914D-9F78-9EA94AAAA7D7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With the increase of movie releases and major blockbusters in the upcoming years, a conservative expectationf or paramount's Film segement to improve.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59" authorId="0" shapeId="0" xr:uid="{F562B2B7-48C1-844E-A1F2-06D592200ADE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With Increased movie production it is expected for corporate expenses to increase
</t>
        </r>
      </text>
    </comment>
    <comment ref="B64" authorId="0" shapeId="0" xr:uid="{0A5851CA-05CA-0344-B25A-78A6D3E6D8AA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+ One Time impairments in 2024
</t>
        </r>
      </text>
    </comment>
    <comment ref="D64" authorId="0" shapeId="0" xr:uid="{D842CA48-7766-5045-ACC0-34E925F72A47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FCC License Impariment: 83 million write down
</t>
        </r>
      </text>
    </comment>
    <comment ref="E64" authorId="0" shapeId="0" xr:uid="{A3DD227A-BCFD-544F-8A77-EC20F746B1DE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5.98 Billion Goodwill Impairment and 149 million license impairment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Owen Purnomo</author>
  </authors>
  <commentList>
    <comment ref="A31" authorId="0" shapeId="0" xr:uid="{8B22AA64-C80B-C643-AE44-5BFBBE998BCF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Stated on the 10k
</t>
        </r>
      </text>
    </comment>
    <comment ref="A35" authorId="0" shapeId="0" xr:uid="{22DBC658-87BA-414D-9D23-38E104061046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Operating Lease: 
</t>
        </r>
        <r>
          <rPr>
            <sz val="10"/>
            <color rgb="FF000000"/>
            <rFont val="Tahoma"/>
            <family val="2"/>
          </rPr>
          <t xml:space="preserve">2025 10k </t>
        </r>
        <r>
          <rPr>
            <sz val="10"/>
            <color rgb="FF000000"/>
            <rFont val="Arial"/>
            <family val="2"/>
          </rPr>
          <t xml:space="preserve">Page </t>
        </r>
        <r>
          <rPr>
            <sz val="10"/>
            <color rgb="FF000000"/>
            <rFont val="Tahoma"/>
            <family val="2"/>
          </rPr>
          <t xml:space="preserve"> II 73</t>
        </r>
      </text>
    </comment>
    <comment ref="A46" authorId="0" shapeId="0" xr:uid="{58580696-BF81-2447-9CA8-9D70583DF302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Weighted Average Interest Rate II-13
</t>
        </r>
      </text>
    </comment>
    <comment ref="C47" authorId="0" shapeId="0" xr:uid="{F1D8D403-31E6-6C4E-B7B6-CA3DB01821F5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Long term debt + Finance Lease Obligations
</t>
        </r>
      </text>
    </comment>
    <comment ref="F47" authorId="0" shapeId="0" xr:uid="{C9D0F1A0-BA9D-144B-A48A-8A5AD70D24E1}">
      <text>
        <r>
          <rPr>
            <b/>
            <sz val="10"/>
            <color rgb="FF000000"/>
            <rFont val="Tahoma"/>
            <family val="2"/>
          </rPr>
          <t>Owen Purnomo: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Subtract Maturities of longterm debt on Page II 71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<sst xmlns="http://schemas.openxmlformats.org/spreadsheetml/2006/main" count="212" uniqueCount="132">
  <si>
    <t>Owen Purnomo</t>
  </si>
  <si>
    <t>Paramount</t>
  </si>
  <si>
    <t>NASDAQ: PSKY</t>
  </si>
  <si>
    <t>Segment</t>
  </si>
  <si>
    <t>Subscribers (mm)</t>
  </si>
  <si>
    <t>EBIT (USD mm)</t>
  </si>
  <si>
    <t>Metrics</t>
  </si>
  <si>
    <t>Segment Revenue Driver</t>
  </si>
  <si>
    <t>Paramount+ Subscribers (mm)</t>
  </si>
  <si>
    <t>Net adds%</t>
  </si>
  <si>
    <t>ARPU Growth %</t>
  </si>
  <si>
    <t>EBIT Margin %</t>
  </si>
  <si>
    <t>Audience Change %</t>
  </si>
  <si>
    <t>Political Adjustment %</t>
  </si>
  <si>
    <t>Affiliate Fee ($ per month)</t>
  </si>
  <si>
    <t>Fee Growth %</t>
  </si>
  <si>
    <t>Revenue Growth %</t>
  </si>
  <si>
    <t>Event (Sports) Adjustment %</t>
  </si>
  <si>
    <t>https://adsmanager.paramount.com/insights/ctv-advertising-cost#CTV-ADVERTISING-BEST-PRACTICES-TO-OPTIMIZE-CPMS</t>
  </si>
  <si>
    <t>https://clients-mintel-com.ezproxy.bu.edu/report/television-advertising-incl-impact-of-covid-19-us-august-2020?fromSearch=%3Ffilters.category%3D120%26filters.region%3D14%26freetext%3DTV%26resultPosition%3D13</t>
  </si>
  <si>
    <t>https://www.mediadynamicsinc.com/uploads/files/UPFRONT-2024-25-PRESS-RELEASE-FINAL-MZ4.pdf</t>
  </si>
  <si>
    <t>CPM Pricing Growth %</t>
  </si>
  <si>
    <t>TV Media</t>
  </si>
  <si>
    <t>Advirtising Revenue (USD mm)</t>
  </si>
  <si>
    <t xml:space="preserve">Direct to Consumer </t>
  </si>
  <si>
    <t>Filmed Entertainment</t>
  </si>
  <si>
    <t>Advertising</t>
  </si>
  <si>
    <t>Affiliate</t>
  </si>
  <si>
    <t>Licensing &amp; Other</t>
  </si>
  <si>
    <t>Licensing &amp; Other Revenue (USD mm)</t>
  </si>
  <si>
    <t>Affiliate Fee ($ per year)</t>
  </si>
  <si>
    <t>Affiliate Revenue</t>
  </si>
  <si>
    <t>Subscriber Growth %</t>
  </si>
  <si>
    <t>Segment Revenue (USD mm)</t>
  </si>
  <si>
    <t>Subscription Revenue</t>
  </si>
  <si>
    <t>Advertising Revenue</t>
  </si>
  <si>
    <t>Licensing Revenue</t>
  </si>
  <si>
    <t>ARPU ($/year)</t>
  </si>
  <si>
    <t>Theatrical Revenue</t>
  </si>
  <si>
    <t># of Films Released</t>
  </si>
  <si>
    <t>Theatrical Revenue Growth%</t>
  </si>
  <si>
    <t>Total Revenue</t>
  </si>
  <si>
    <t>Segment of Total Revenue %</t>
  </si>
  <si>
    <t>TV Media Revenue</t>
  </si>
  <si>
    <t>Direct to Consumer Revenue</t>
  </si>
  <si>
    <t>Filmed Entertainment Revenue</t>
  </si>
  <si>
    <t>Income Statement</t>
  </si>
  <si>
    <t>Interest Expense</t>
  </si>
  <si>
    <t>Pre-Tax Income</t>
  </si>
  <si>
    <t>Net Income</t>
  </si>
  <si>
    <t>Grotwh Rate</t>
  </si>
  <si>
    <t>Corporate Expense</t>
  </si>
  <si>
    <t>Segement OIBDA</t>
  </si>
  <si>
    <t>Depreciation &amp; Amort.</t>
  </si>
  <si>
    <t>EBITDA Margin</t>
  </si>
  <si>
    <t>TV Media EBIT</t>
  </si>
  <si>
    <t>Direct to Consumer EBIT</t>
  </si>
  <si>
    <t>Filmed Entertainment EBIT</t>
  </si>
  <si>
    <t>Total EBIT</t>
  </si>
  <si>
    <t>Total EBIT Margin</t>
  </si>
  <si>
    <t>Coproate Expense</t>
  </si>
  <si>
    <t>Interest Income</t>
  </si>
  <si>
    <t>Tax Benefit</t>
  </si>
  <si>
    <t>Equity in loss of investee companies, net of tax</t>
  </si>
  <si>
    <t>Earnings from discontinued operations, net of tax</t>
  </si>
  <si>
    <t>Net earnings attributable to noncontrolling interests</t>
  </si>
  <si>
    <t>Cash Interest</t>
  </si>
  <si>
    <t>Capex</t>
  </si>
  <si>
    <t>Cash Taxes</t>
  </si>
  <si>
    <t>FCF</t>
  </si>
  <si>
    <t>Credit Matrix</t>
  </si>
  <si>
    <t>EBIT/Interest</t>
  </si>
  <si>
    <t>EBITDA/Interest</t>
  </si>
  <si>
    <t>(EBITDA - CAPEX)/Interest</t>
  </si>
  <si>
    <t>Gross Debt/EBITDAR</t>
  </si>
  <si>
    <t>NET Debt/EBITDAR</t>
  </si>
  <si>
    <t>FCF/ Debt</t>
  </si>
  <si>
    <t>Lease Expense</t>
  </si>
  <si>
    <t>Interest Rate</t>
  </si>
  <si>
    <t>Long Term Notes</t>
  </si>
  <si>
    <t>Short Term Debt</t>
  </si>
  <si>
    <t>Total Debt</t>
  </si>
  <si>
    <t>Note 8 &amp; 9: Debt &amp; Leases</t>
  </si>
  <si>
    <t>Operating Leases</t>
  </si>
  <si>
    <t>Total Purchase Obligations 2025 onwards</t>
  </si>
  <si>
    <t>Unfunded Pensions</t>
  </si>
  <si>
    <t>Adjusted Leverage</t>
  </si>
  <si>
    <t>Blockbuster Adjustment</t>
  </si>
  <si>
    <t>Adjusted EBIT</t>
  </si>
  <si>
    <t>Adjusted EBIT Margin</t>
  </si>
  <si>
    <t>Instrument</t>
  </si>
  <si>
    <t>Coupon (%)</t>
  </si>
  <si>
    <t>Maturity</t>
  </si>
  <si>
    <t>Carrying Value ($mm)</t>
  </si>
  <si>
    <t>Category</t>
  </si>
  <si>
    <t>Senior Notes</t>
  </si>
  <si>
    <t>Senior</t>
  </si>
  <si>
    <t>Senior Debentures</t>
  </si>
  <si>
    <t>Junior Subordinated Debentures</t>
  </si>
  <si>
    <t>Junior Subordinated</t>
  </si>
  <si>
    <t xml:space="preserve">Adjusted EBIT </t>
  </si>
  <si>
    <t>Direct to Consumer</t>
  </si>
  <si>
    <t>Percentage of Revenue</t>
  </si>
  <si>
    <t>Adjusted EBITDA</t>
  </si>
  <si>
    <t xml:space="preserve">Adjusted EBITDA </t>
  </si>
  <si>
    <t>EBIT Margin</t>
  </si>
  <si>
    <t>Box Office Average ($mm)</t>
  </si>
  <si>
    <t>Paramount’s credit profile is weaker than its current Ba1/BB+ rating implies, with leverage and coverage metrics deteriorating toward low-B and potentially CCC+ territory by 2029 absent structural improvement in operating performance.</t>
  </si>
  <si>
    <t>Upside</t>
  </si>
  <si>
    <t>Base</t>
  </si>
  <si>
    <t>Downside</t>
  </si>
  <si>
    <t>Coupon</t>
  </si>
  <si>
    <t>Spreads</t>
  </si>
  <si>
    <t>Scenario</t>
  </si>
  <si>
    <t>Price</t>
  </si>
  <si>
    <t>1Y Total Returns</t>
  </si>
  <si>
    <t>Current Price</t>
  </si>
  <si>
    <t>Current Yield:</t>
  </si>
  <si>
    <t>Maturity:</t>
  </si>
  <si>
    <t>Today</t>
  </si>
  <si>
    <t>Downside^2</t>
  </si>
  <si>
    <t xml:space="preserve">10 Year T-Yield: </t>
  </si>
  <si>
    <t>Ratings: Baa3/BB+/BBB-</t>
  </si>
  <si>
    <t xml:space="preserve">Current Spread &amp; Duration: </t>
  </si>
  <si>
    <t>CUSIP: 92556HAB3</t>
  </si>
  <si>
    <t>Paramoung Global 4.95% Due 2031</t>
  </si>
  <si>
    <t>Due Before 2031</t>
  </si>
  <si>
    <t xml:space="preserve">Margins </t>
  </si>
  <si>
    <t>Segement</t>
  </si>
  <si>
    <t>Credit Metrics</t>
  </si>
  <si>
    <t>Licensing Revenue Growth%</t>
  </si>
  <si>
    <t>Total EBIT (Operating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</si>
</sst>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0.0%"/>
    <numFmt numFmtId="166" formatCode="0.0"/>
    <numFmt numFmtId="167" formatCode="#,##0.0_);[Red]\(#,##0.0\)"/>
    <numFmt numFmtId="168" formatCode="&quot;$&quot;#,##0.00"/>
    <numFmt numFmtId="169" formatCode="##0"/>
    <numFmt numFmtId="170" formatCode="0_);\(0\)"/>
    <numFmt numFmtId="171" formatCode="0_ ;\-0\ "/>
    <numFmt numFmtId="172" formatCode="#,##0_ ;\-#,##0\ "/>
    <numFmt numFmtId="173" formatCode="&quot;$&quot;#,##0.0_);\(&quot;$&quot;#,##0.0\)"/>
    <numFmt numFmtId="174" formatCode="&quot;$&quot;#,##0"/>
    <numFmt numFmtId="175" formatCode="_(&quot;$&quot;* #,##0_);_(&quot;$&quot;* \(#,##0\);_(&quot;$&quot;* &quot;-&quot;??_);_(@_)"/>
    <numFmt numFmtId="176" formatCode="_(* #,##0_);_(* \(#,##0\);_(* &quot;-&quot;??_);_(@_)"/>
    <numFmt numFmtId="177" formatCode="#,##0.0_);\(#,##0.0\)"/>
    <numFmt numFmtId="178" formatCode="#,##0.00000"/>
    <numFmt numFmtId="179" formatCode="_(* #,##0.0_);_(* \(#,##0.0\);_(* &quot;-&quot;??_);_(@_)"/>
    <numFmt numFmtId="180" formatCode="0.0000"/>
    <numFmt numFmtId="181" formatCode="0.000%"/>
    <numFmt numFmtId="182" formatCode="&quot;$&quot;#,##0.000"/>
    <numFmt numFmtId="183" formatCode="0.000"/>
  </numFmts>
  <fonts count="29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sz val="10"/>
      <name val="MS Sans Serif"/>
    </font>
    <font>
      <sz val="8"/>
      <color indexed="39"/>
      <name val="Arial"/>
      <family val="2"/>
    </font>
    <font>
      <sz val="10"/>
      <color indexed="12"/>
      <name val="MS Sans Serif"/>
    </font>
    <font>
      <sz val="7"/>
      <name val="Arial"/>
      <family val="2"/>
    </font>
    <font>
      <sz val="12"/>
      <name val="Bookman Old Style"/>
      <family val="1"/>
    </font>
    <font>
      <sz val="12"/>
      <name val="Times New Roman"/>
      <family val="1"/>
    </font>
    <font>
      <b/>
      <sz val="12"/>
      <name val="Bookman Old Style"/>
      <family val="1"/>
    </font>
    <font>
      <sz val="10"/>
      <name val="Arial"/>
      <family val="2"/>
    </font>
    <font>
      <b/>
      <sz val="12"/>
      <color theme="1"/>
      <name val="Bookman Old Style"/>
      <family val="1"/>
    </font>
    <font>
      <sz val="14"/>
      <name val="Bookman Old Style"/>
      <family val="1"/>
    </font>
    <font>
      <b/>
      <sz val="14"/>
      <name val="Bookman Old Style"/>
      <family val="1"/>
    </font>
    <font>
      <b/>
      <sz val="14"/>
      <color theme="0"/>
      <name val="Bookman Old Style"/>
      <family val="1"/>
    </font>
    <font>
      <sz val="12"/>
      <color theme="0"/>
      <name val="Bookman Old Style"/>
      <family val="1"/>
    </font>
    <font>
      <b/>
      <sz val="15"/>
      <name val="Bookman Old Style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sz val="14"/>
      <color rgb="FF000000"/>
      <name val="Bookman Old Style"/>
      <family val="1"/>
    </font>
    <font>
      <b/>
      <sz val="14"/>
      <color theme="1"/>
      <name val="Bookman Old Style"/>
      <family val="1"/>
    </font>
    <font>
      <sz val="8"/>
      <name val="Arial"/>
      <family val="2"/>
    </font>
    <font>
      <sz val="14"/>
      <name val="Arial"/>
      <family val="2"/>
    </font>
    <font>
      <sz val="14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0064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7" fontId="4" fillId="2" borderId="0" applyNumberFormat="0" applyBorder="0" applyAlignment="0">
      <protection locked="0"/>
    </xf>
    <xf numFmtId="10" fontId="5" fillId="0" borderId="0">
      <protection locked="0"/>
    </xf>
    <xf numFmtId="15" fontId="5" fillId="0" borderId="0">
      <protection locked="0"/>
    </xf>
    <xf numFmtId="2" fontId="5" fillId="0" borderId="1">
      <protection locked="0"/>
    </xf>
    <xf numFmtId="0" fontId="5" fillId="0" borderId="0">
      <protection locked="0"/>
    </xf>
    <xf numFmtId="168" fontId="3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18">
    <xf numFmtId="0" fontId="0" fillId="0" borderId="0" xfId="0"/>
    <xf numFmtId="3" fontId="7" fillId="0" borderId="0" xfId="0" applyNumberFormat="1" applyFont="1"/>
    <xf numFmtId="165" fontId="7" fillId="0" borderId="0" xfId="0" applyNumberFormat="1" applyFont="1"/>
    <xf numFmtId="165" fontId="7" fillId="0" borderId="0" xfId="17" applyNumberFormat="1" applyFont="1"/>
    <xf numFmtId="5" fontId="7" fillId="0" borderId="0" xfId="0" applyNumberFormat="1" applyFont="1"/>
    <xf numFmtId="37" fontId="7" fillId="0" borderId="0" xfId="0" applyNumberFormat="1" applyFont="1"/>
    <xf numFmtId="166" fontId="7" fillId="0" borderId="0" xfId="0" applyNumberFormat="1" applyFont="1"/>
    <xf numFmtId="3" fontId="8" fillId="0" borderId="0" xfId="0" applyNumberFormat="1" applyFont="1"/>
    <xf numFmtId="5" fontId="7" fillId="0" borderId="0" xfId="17" applyNumberFormat="1" applyFont="1"/>
    <xf numFmtId="171" fontId="7" fillId="0" borderId="0" xfId="0" applyNumberFormat="1" applyFont="1" applyAlignment="1">
      <alignment horizontal="center"/>
    </xf>
    <xf numFmtId="164" fontId="7" fillId="0" borderId="0" xfId="0" applyNumberFormat="1" applyFont="1"/>
    <xf numFmtId="170" fontId="7" fillId="0" borderId="0" xfId="0" applyNumberFormat="1" applyFont="1"/>
    <xf numFmtId="173" fontId="7" fillId="0" borderId="0" xfId="0" applyNumberFormat="1" applyFont="1"/>
    <xf numFmtId="165" fontId="9" fillId="0" borderId="0" xfId="0" applyNumberFormat="1" applyFont="1"/>
    <xf numFmtId="174" fontId="7" fillId="0" borderId="0" xfId="0" applyNumberFormat="1" applyFont="1"/>
    <xf numFmtId="174" fontId="7" fillId="0" borderId="0" xfId="19" applyNumberFormat="1" applyFont="1"/>
    <xf numFmtId="7" fontId="7" fillId="0" borderId="0" xfId="0" applyNumberFormat="1" applyFont="1"/>
    <xf numFmtId="165" fontId="9" fillId="0" borderId="0" xfId="17" applyNumberFormat="1" applyFont="1" applyFill="1"/>
    <xf numFmtId="174" fontId="7" fillId="0" borderId="0" xfId="17" applyNumberFormat="1" applyFont="1" applyFill="1"/>
    <xf numFmtId="1" fontId="7" fillId="0" borderId="0" xfId="17" applyNumberFormat="1" applyFont="1" applyFill="1"/>
    <xf numFmtId="5" fontId="7" fillId="0" borderId="0" xfId="17" applyNumberFormat="1" applyFont="1" applyFill="1"/>
    <xf numFmtId="170" fontId="7" fillId="0" borderId="0" xfId="0" applyNumberFormat="1" applyFont="1" applyAlignment="1">
      <alignment horizontal="center"/>
    </xf>
    <xf numFmtId="10" fontId="9" fillId="0" borderId="0" xfId="0" applyNumberFormat="1" applyFont="1"/>
    <xf numFmtId="176" fontId="7" fillId="0" borderId="0" xfId="2" applyNumberFormat="1" applyFont="1" applyFill="1"/>
    <xf numFmtId="37" fontId="7" fillId="0" borderId="0" xfId="17" applyNumberFormat="1" applyFont="1" applyFill="1"/>
    <xf numFmtId="3" fontId="9" fillId="0" borderId="0" xfId="0" applyNumberFormat="1" applyFont="1"/>
    <xf numFmtId="168" fontId="7" fillId="0" borderId="0" xfId="0" applyNumberFormat="1" applyFont="1"/>
    <xf numFmtId="3" fontId="7" fillId="0" borderId="0" xfId="0" quotePrefix="1" applyNumberFormat="1" applyFont="1"/>
    <xf numFmtId="174" fontId="7" fillId="0" borderId="0" xfId="2" applyNumberFormat="1" applyFont="1" applyFill="1"/>
    <xf numFmtId="174" fontId="7" fillId="0" borderId="0" xfId="2" quotePrefix="1" applyNumberFormat="1" applyFont="1" applyFill="1"/>
    <xf numFmtId="174" fontId="7" fillId="0" borderId="0" xfId="19" applyNumberFormat="1" applyFont="1" applyFill="1"/>
    <xf numFmtId="10" fontId="11" fillId="0" borderId="0" xfId="0" applyNumberFormat="1" applyFont="1"/>
    <xf numFmtId="1" fontId="7" fillId="0" borderId="0" xfId="0" applyNumberFormat="1" applyFont="1"/>
    <xf numFmtId="0" fontId="7" fillId="0" borderId="0" xfId="0" applyFont="1"/>
    <xf numFmtId="177" fontId="7" fillId="0" borderId="0" xfId="0" applyNumberFormat="1" applyFont="1"/>
    <xf numFmtId="7" fontId="7" fillId="0" borderId="0" xfId="17" applyNumberFormat="1" applyFont="1" applyFill="1"/>
    <xf numFmtId="0" fontId="7" fillId="0" borderId="0" xfId="17" applyNumberFormat="1" applyFont="1" applyFill="1"/>
    <xf numFmtId="10" fontId="7" fillId="0" borderId="0" xfId="0" applyNumberFormat="1" applyFont="1"/>
    <xf numFmtId="165" fontId="7" fillId="0" borderId="0" xfId="17" applyNumberFormat="1" applyFont="1" applyFill="1"/>
    <xf numFmtId="10" fontId="7" fillId="0" borderId="0" xfId="17" applyNumberFormat="1" applyFont="1" applyFill="1"/>
    <xf numFmtId="172" fontId="7" fillId="0" borderId="0" xfId="0" applyNumberFormat="1" applyFont="1"/>
    <xf numFmtId="9" fontId="7" fillId="0" borderId="0" xfId="17" applyFont="1" applyFill="1"/>
    <xf numFmtId="176" fontId="7" fillId="0" borderId="0" xfId="0" applyNumberFormat="1" applyFont="1"/>
    <xf numFmtId="1" fontId="7" fillId="0" borderId="0" xfId="2" applyNumberFormat="1" applyFont="1" applyFill="1"/>
    <xf numFmtId="0" fontId="9" fillId="0" borderId="0" xfId="0" applyFont="1"/>
    <xf numFmtId="174" fontId="7" fillId="0" borderId="0" xfId="19" applyNumberFormat="1" applyFont="1" applyFill="1" applyBorder="1"/>
    <xf numFmtId="5" fontId="7" fillId="0" borderId="0" xfId="2" applyNumberFormat="1" applyFont="1" applyFill="1" applyBorder="1"/>
    <xf numFmtId="37" fontId="7" fillId="0" borderId="0" xfId="0" applyNumberFormat="1" applyFont="1" applyAlignment="1">
      <alignment horizontal="right"/>
    </xf>
    <xf numFmtId="0" fontId="8" fillId="0" borderId="0" xfId="0" applyFont="1"/>
    <xf numFmtId="38" fontId="7" fillId="0" borderId="0" xfId="2" applyNumberFormat="1" applyFont="1" applyFill="1"/>
    <xf numFmtId="175" fontId="8" fillId="0" borderId="0" xfId="19" applyNumberFormat="1" applyFont="1" applyFill="1"/>
    <xf numFmtId="175" fontId="7" fillId="0" borderId="0" xfId="19" applyNumberFormat="1" applyFont="1" applyFill="1"/>
    <xf numFmtId="0" fontId="11" fillId="0" borderId="0" xfId="0" applyFont="1"/>
    <xf numFmtId="10" fontId="11" fillId="0" borderId="0" xfId="17" applyNumberFormat="1" applyFont="1" applyFill="1"/>
    <xf numFmtId="4" fontId="7" fillId="0" borderId="0" xfId="0" applyNumberFormat="1" applyFont="1"/>
    <xf numFmtId="10" fontId="8" fillId="0" borderId="0" xfId="17" applyNumberFormat="1" applyFont="1" applyFill="1"/>
    <xf numFmtId="14" fontId="12" fillId="0" borderId="0" xfId="0" applyNumberFormat="1" applyFont="1" applyAlignment="1">
      <alignment horizontal="center"/>
    </xf>
    <xf numFmtId="3" fontId="12" fillId="0" borderId="0" xfId="0" applyNumberFormat="1" applyFont="1"/>
    <xf numFmtId="10" fontId="9" fillId="0" borderId="0" xfId="17" applyNumberFormat="1" applyFont="1" applyFill="1"/>
    <xf numFmtId="170" fontId="12" fillId="0" borderId="0" xfId="0" applyNumberFormat="1" applyFont="1"/>
    <xf numFmtId="3" fontId="13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left"/>
    </xf>
    <xf numFmtId="3" fontId="13" fillId="0" borderId="0" xfId="0" quotePrefix="1" applyNumberFormat="1" applyFont="1" applyAlignment="1">
      <alignment horizontal="left"/>
    </xf>
    <xf numFmtId="3" fontId="12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3" fontId="13" fillId="0" borderId="0" xfId="0" applyNumberFormat="1" applyFont="1"/>
    <xf numFmtId="3" fontId="15" fillId="0" borderId="0" xfId="0" applyNumberFormat="1" applyFont="1"/>
    <xf numFmtId="0" fontId="14" fillId="3" borderId="0" xfId="0" applyFont="1" applyFill="1" applyAlignment="1">
      <alignment horizontal="center" vertical="center"/>
    </xf>
    <xf numFmtId="3" fontId="16" fillId="0" borderId="0" xfId="0" applyNumberFormat="1" applyFont="1" applyAlignment="1">
      <alignment horizontal="left"/>
    </xf>
    <xf numFmtId="0" fontId="12" fillId="0" borderId="0" xfId="0" applyFont="1"/>
    <xf numFmtId="165" fontId="7" fillId="4" borderId="0" xfId="0" applyNumberFormat="1" applyFont="1" applyFill="1"/>
    <xf numFmtId="9" fontId="7" fillId="0" borderId="0" xfId="17" applyFont="1"/>
    <xf numFmtId="10" fontId="7" fillId="0" borderId="0" xfId="17" applyNumberFormat="1" applyFont="1"/>
    <xf numFmtId="9" fontId="7" fillId="4" borderId="0" xfId="17" applyFont="1" applyFill="1"/>
    <xf numFmtId="174" fontId="21" fillId="0" borderId="0" xfId="20" applyNumberFormat="1"/>
    <xf numFmtId="3" fontId="13" fillId="0" borderId="0" xfId="0" quotePrefix="1" applyNumberFormat="1" applyFont="1" applyAlignment="1">
      <alignment horizontal="center"/>
    </xf>
    <xf numFmtId="5" fontId="13" fillId="0" borderId="0" xfId="0" applyNumberFormat="1" applyFont="1" applyAlignment="1">
      <alignment horizontal="center"/>
    </xf>
    <xf numFmtId="165" fontId="12" fillId="0" borderId="0" xfId="0" applyNumberFormat="1" applyFont="1"/>
    <xf numFmtId="37" fontId="12" fillId="0" borderId="0" xfId="0" applyNumberFormat="1" applyFont="1"/>
    <xf numFmtId="5" fontId="12" fillId="0" borderId="0" xfId="0" applyNumberFormat="1" applyFont="1"/>
    <xf numFmtId="9" fontId="7" fillId="0" borderId="0" xfId="0" applyNumberFormat="1" applyFont="1"/>
    <xf numFmtId="175" fontId="7" fillId="0" borderId="0" xfId="19" applyNumberFormat="1" applyFont="1"/>
    <xf numFmtId="178" fontId="7" fillId="0" borderId="0" xfId="0" applyNumberFormat="1" applyFont="1"/>
    <xf numFmtId="168" fontId="7" fillId="0" borderId="0" xfId="19" applyNumberFormat="1" applyFont="1"/>
    <xf numFmtId="168" fontId="7" fillId="4" borderId="0" xfId="19" applyNumberFormat="1" applyFont="1" applyFill="1"/>
    <xf numFmtId="179" fontId="7" fillId="0" borderId="0" xfId="2" applyNumberFormat="1" applyFont="1" applyFill="1"/>
    <xf numFmtId="168" fontId="7" fillId="0" borderId="0" xfId="19" applyNumberFormat="1" applyFont="1" applyFill="1"/>
    <xf numFmtId="168" fontId="7" fillId="0" borderId="0" xfId="2" applyNumberFormat="1" applyFont="1" applyFill="1"/>
    <xf numFmtId="168" fontId="7" fillId="0" borderId="0" xfId="17" applyNumberFormat="1" applyFont="1" applyFill="1"/>
    <xf numFmtId="166" fontId="12" fillId="0" borderId="0" xfId="0" applyNumberFormat="1" applyFont="1"/>
    <xf numFmtId="166" fontId="9" fillId="0" borderId="0" xfId="0" applyNumberFormat="1" applyFont="1"/>
    <xf numFmtId="3" fontId="12" fillId="0" borderId="0" xfId="0" quotePrefix="1" applyNumberFormat="1" applyFont="1"/>
    <xf numFmtId="3" fontId="13" fillId="0" borderId="0" xfId="0" quotePrefix="1" applyNumberFormat="1" applyFont="1"/>
    <xf numFmtId="5" fontId="13" fillId="0" borderId="0" xfId="0" applyNumberFormat="1" applyFont="1"/>
    <xf numFmtId="3" fontId="14" fillId="3" borderId="0" xfId="0" applyNumberFormat="1" applyFont="1" applyFill="1" applyAlignment="1">
      <alignment horizontal="center"/>
    </xf>
    <xf numFmtId="1" fontId="22" fillId="0" borderId="0" xfId="17" applyNumberFormat="1" applyFont="1" applyFill="1"/>
    <xf numFmtId="166" fontId="13" fillId="0" borderId="0" xfId="0" applyNumberFormat="1" applyFont="1"/>
    <xf numFmtId="2" fontId="7" fillId="0" borderId="0" xfId="0" applyNumberFormat="1" applyFont="1"/>
    <xf numFmtId="2" fontId="7" fillId="0" borderId="0" xfId="17" applyNumberFormat="1" applyFont="1" applyFill="1"/>
    <xf numFmtId="174" fontId="22" fillId="4" borderId="0" xfId="19" applyNumberFormat="1" applyFont="1" applyFill="1"/>
    <xf numFmtId="171" fontId="14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74" fontId="12" fillId="0" borderId="0" xfId="0" applyNumberFormat="1" applyFont="1"/>
    <xf numFmtId="9" fontId="12" fillId="0" borderId="0" xfId="17" applyFont="1"/>
    <xf numFmtId="10" fontId="12" fillId="0" borderId="0" xfId="17" applyNumberFormat="1" applyFont="1" applyFill="1"/>
    <xf numFmtId="174" fontId="12" fillId="0" borderId="0" xfId="2" quotePrefix="1" applyNumberFormat="1" applyFont="1" applyFill="1"/>
    <xf numFmtId="174" fontId="12" fillId="0" borderId="0" xfId="2" applyNumberFormat="1" applyFont="1" applyFill="1"/>
    <xf numFmtId="174" fontId="12" fillId="0" borderId="0" xfId="17" applyNumberFormat="1" applyFont="1"/>
    <xf numFmtId="168" fontId="12" fillId="0" borderId="0" xfId="0" applyNumberFormat="1" applyFont="1"/>
    <xf numFmtId="176" fontId="12" fillId="0" borderId="0" xfId="2" applyNumberFormat="1" applyFont="1" applyFill="1"/>
    <xf numFmtId="10" fontId="12" fillId="0" borderId="0" xfId="0" applyNumberFormat="1" applyFont="1"/>
    <xf numFmtId="2" fontId="12" fillId="0" borderId="0" xfId="2" applyNumberFormat="1" applyFont="1" applyFill="1"/>
    <xf numFmtId="37" fontId="13" fillId="0" borderId="0" xfId="0" applyNumberFormat="1" applyFont="1"/>
    <xf numFmtId="5" fontId="12" fillId="4" borderId="0" xfId="0" applyNumberFormat="1" applyFont="1" applyFill="1"/>
    <xf numFmtId="2" fontId="12" fillId="0" borderId="0" xfId="19" applyNumberFormat="1" applyFont="1" applyFill="1"/>
    <xf numFmtId="174" fontId="7" fillId="4" borderId="0" xfId="17" applyNumberFormat="1" applyFont="1" applyFill="1"/>
    <xf numFmtId="174" fontId="12" fillId="0" borderId="0" xfId="17" applyNumberFormat="1" applyFont="1" applyFill="1"/>
    <xf numFmtId="10" fontId="12" fillId="0" borderId="0" xfId="17" applyNumberFormat="1" applyFont="1"/>
    <xf numFmtId="5" fontId="12" fillId="0" borderId="0" xfId="17" applyNumberFormat="1" applyFont="1" applyFill="1"/>
    <xf numFmtId="1" fontId="12" fillId="0" borderId="0" xfId="0" applyNumberFormat="1" applyFont="1"/>
    <xf numFmtId="174" fontId="12" fillId="0" borderId="0" xfId="19" applyNumberFormat="1" applyFont="1"/>
    <xf numFmtId="0" fontId="7" fillId="0" borderId="0" xfId="17" applyNumberFormat="1" applyFont="1"/>
    <xf numFmtId="174" fontId="12" fillId="0" borderId="0" xfId="19" applyNumberFormat="1" applyFont="1" applyFill="1"/>
    <xf numFmtId="7" fontId="12" fillId="0" borderId="0" xfId="0" applyNumberFormat="1" applyFont="1"/>
    <xf numFmtId="39" fontId="12" fillId="0" borderId="0" xfId="0" applyNumberFormat="1" applyFont="1"/>
    <xf numFmtId="177" fontId="12" fillId="0" borderId="0" xfId="0" applyNumberFormat="1" applyFont="1"/>
    <xf numFmtId="166" fontId="12" fillId="0" borderId="0" xfId="17" applyNumberFormat="1" applyFont="1" applyFill="1"/>
    <xf numFmtId="7" fontId="12" fillId="0" borderId="0" xfId="17" applyNumberFormat="1" applyFont="1" applyFill="1"/>
    <xf numFmtId="174" fontId="7" fillId="0" borderId="2" xfId="0" applyNumberFormat="1" applyFont="1" applyBorder="1" applyAlignment="1">
      <alignment horizontal="center"/>
    </xf>
    <xf numFmtId="37" fontId="15" fillId="3" borderId="2" xfId="17" applyNumberFormat="1" applyFont="1" applyFill="1" applyBorder="1" applyAlignment="1">
      <alignment horizontal="center"/>
    </xf>
    <xf numFmtId="174" fontId="23" fillId="4" borderId="0" xfId="2" applyNumberFormat="1" applyFont="1" applyFill="1"/>
    <xf numFmtId="5" fontId="12" fillId="4" borderId="0" xfId="17" applyNumberFormat="1" applyFont="1" applyFill="1"/>
    <xf numFmtId="3" fontId="14" fillId="0" borderId="0" xfId="0" applyNumberFormat="1" applyFont="1" applyAlignment="1">
      <alignment horizontal="center"/>
    </xf>
    <xf numFmtId="17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2" fontId="12" fillId="0" borderId="0" xfId="0" applyNumberFormat="1" applyFont="1"/>
    <xf numFmtId="2" fontId="9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174" fontId="24" fillId="0" borderId="0" xfId="0" applyNumberFormat="1" applyFont="1" applyAlignment="1">
      <alignment horizontal="right"/>
    </xf>
    <xf numFmtId="0" fontId="24" fillId="0" borderId="3" xfId="0" applyFont="1" applyBorder="1" applyAlignment="1">
      <alignment horizontal="left"/>
    </xf>
    <xf numFmtId="0" fontId="24" fillId="0" borderId="4" xfId="0" applyFont="1" applyBorder="1"/>
    <xf numFmtId="0" fontId="24" fillId="0" borderId="4" xfId="0" applyFont="1" applyBorder="1" applyAlignment="1">
      <alignment horizontal="center"/>
    </xf>
    <xf numFmtId="174" fontId="24" fillId="0" borderId="4" xfId="0" applyNumberFormat="1" applyFont="1" applyBorder="1" applyAlignment="1">
      <alignment horizontal="right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left"/>
    </xf>
    <xf numFmtId="0" fontId="24" fillId="0" borderId="7" xfId="0" applyFont="1" applyBorder="1"/>
    <xf numFmtId="0" fontId="24" fillId="0" borderId="7" xfId="0" applyFont="1" applyBorder="1" applyAlignment="1">
      <alignment horizontal="center"/>
    </xf>
    <xf numFmtId="174" fontId="24" fillId="0" borderId="7" xfId="0" applyNumberFormat="1" applyFont="1" applyBorder="1" applyAlignment="1">
      <alignment horizontal="right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2" fontId="12" fillId="0" borderId="0" xfId="2" applyNumberFormat="1" applyFont="1" applyFill="1" applyBorder="1"/>
    <xf numFmtId="2" fontId="12" fillId="0" borderId="10" xfId="2" applyNumberFormat="1" applyFont="1" applyFill="1" applyBorder="1"/>
    <xf numFmtId="2" fontId="12" fillId="0" borderId="10" xfId="0" applyNumberFormat="1" applyFont="1" applyBorder="1"/>
    <xf numFmtId="3" fontId="13" fillId="0" borderId="9" xfId="0" applyNumberFormat="1" applyFont="1" applyBorder="1"/>
    <xf numFmtId="2" fontId="12" fillId="0" borderId="0" xfId="19" applyNumberFormat="1" applyFont="1" applyFill="1" applyBorder="1"/>
    <xf numFmtId="2" fontId="12" fillId="0" borderId="10" xfId="19" applyNumberFormat="1" applyFont="1" applyFill="1" applyBorder="1"/>
    <xf numFmtId="166" fontId="13" fillId="0" borderId="9" xfId="0" applyNumberFormat="1" applyFont="1" applyBorder="1"/>
    <xf numFmtId="176" fontId="7" fillId="0" borderId="0" xfId="2" applyNumberFormat="1" applyFont="1" applyFill="1" applyBorder="1"/>
    <xf numFmtId="37" fontId="13" fillId="0" borderId="6" xfId="0" applyNumberFormat="1" applyFont="1" applyBorder="1"/>
    <xf numFmtId="0" fontId="7" fillId="0" borderId="7" xfId="0" applyFont="1" applyBorder="1"/>
    <xf numFmtId="2" fontId="12" fillId="0" borderId="7" xfId="0" applyNumberFormat="1" applyFont="1" applyBorder="1"/>
    <xf numFmtId="165" fontId="7" fillId="4" borderId="0" xfId="17" applyNumberFormat="1" applyFont="1" applyFill="1"/>
    <xf numFmtId="166" fontId="13" fillId="0" borderId="11" xfId="0" applyNumberFormat="1" applyFont="1" applyBorder="1"/>
    <xf numFmtId="9" fontId="7" fillId="0" borderId="12" xfId="0" applyNumberFormat="1" applyFont="1" applyBorder="1"/>
    <xf numFmtId="9" fontId="7" fillId="0" borderId="13" xfId="0" applyNumberFormat="1" applyFont="1" applyBorder="1"/>
    <xf numFmtId="0" fontId="25" fillId="0" borderId="3" xfId="0" applyFont="1" applyBorder="1" applyAlignment="1">
      <alignment horizontal="center"/>
    </xf>
    <xf numFmtId="176" fontId="23" fillId="0" borderId="4" xfId="2" applyNumberFormat="1" applyFont="1" applyFill="1" applyBorder="1"/>
    <xf numFmtId="5" fontId="23" fillId="0" borderId="4" xfId="0" applyNumberFormat="1" applyFont="1" applyBorder="1"/>
    <xf numFmtId="176" fontId="22" fillId="0" borderId="5" xfId="2" applyNumberFormat="1" applyFont="1" applyFill="1" applyBorder="1"/>
    <xf numFmtId="180" fontId="7" fillId="0" borderId="0" xfId="0" applyNumberFormat="1" applyFont="1"/>
    <xf numFmtId="0" fontId="12" fillId="0" borderId="3" xfId="0" applyFont="1" applyBorder="1" applyAlignment="1">
      <alignment horizontal="center"/>
    </xf>
    <xf numFmtId="174" fontId="12" fillId="0" borderId="4" xfId="0" applyNumberFormat="1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174" fontId="12" fillId="0" borderId="10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174" fontId="12" fillId="0" borderId="9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" fontId="12" fillId="0" borderId="7" xfId="0" applyNumberFormat="1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174" fontId="12" fillId="0" borderId="14" xfId="0" applyNumberFormat="1" applyFont="1" applyBorder="1" applyAlignment="1">
      <alignment horizontal="center"/>
    </xf>
    <xf numFmtId="174" fontId="12" fillId="0" borderId="16" xfId="0" applyNumberFormat="1" applyFont="1" applyBorder="1" applyAlignment="1">
      <alignment horizontal="center"/>
    </xf>
    <xf numFmtId="181" fontId="12" fillId="0" borderId="0" xfId="17" applyNumberFormat="1" applyFont="1" applyBorder="1" applyAlignment="1">
      <alignment horizontal="center"/>
    </xf>
    <xf numFmtId="168" fontId="12" fillId="0" borderId="0" xfId="19" applyNumberFormat="1" applyFont="1" applyBorder="1" applyAlignment="1">
      <alignment horizontal="center"/>
    </xf>
    <xf numFmtId="168" fontId="12" fillId="0" borderId="7" xfId="19" applyNumberFormat="1" applyFont="1" applyBorder="1" applyAlignment="1">
      <alignment horizontal="center"/>
    </xf>
    <xf numFmtId="182" fontId="12" fillId="0" borderId="7" xfId="0" applyNumberFormat="1" applyFont="1" applyBorder="1" applyAlignment="1">
      <alignment horizontal="center"/>
    </xf>
    <xf numFmtId="10" fontId="12" fillId="0" borderId="10" xfId="17" applyNumberFormat="1" applyFont="1" applyBorder="1" applyAlignment="1">
      <alignment horizontal="center"/>
    </xf>
    <xf numFmtId="10" fontId="12" fillId="0" borderId="8" xfId="17" applyNumberFormat="1" applyFont="1" applyBorder="1" applyAlignment="1">
      <alignment horizontal="center"/>
    </xf>
    <xf numFmtId="181" fontId="12" fillId="0" borderId="0" xfId="17" applyNumberFormat="1" applyFont="1" applyFill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7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82" fontId="12" fillId="0" borderId="0" xfId="0" applyNumberFormat="1" applyFont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3" fontId="12" fillId="0" borderId="14" xfId="0" applyNumberFormat="1" applyFont="1" applyBorder="1"/>
    <xf numFmtId="174" fontId="12" fillId="0" borderId="14" xfId="0" applyNumberFormat="1" applyFont="1" applyBorder="1"/>
    <xf numFmtId="0" fontId="14" fillId="3" borderId="2" xfId="0" applyFont="1" applyFill="1" applyBorder="1"/>
    <xf numFmtId="0" fontId="12" fillId="0" borderId="2" xfId="0" applyFont="1" applyBorder="1"/>
    <xf numFmtId="174" fontId="12" fillId="0" borderId="2" xfId="0" applyNumberFormat="1" applyFont="1" applyBorder="1"/>
    <xf numFmtId="0" fontId="27" fillId="0" borderId="0" xfId="0" applyFont="1"/>
    <xf numFmtId="0" fontId="28" fillId="3" borderId="2" xfId="0" applyFont="1" applyFill="1" applyBorder="1"/>
    <xf numFmtId="10" fontId="12" fillId="0" borderId="2" xfId="17" applyNumberFormat="1" applyFont="1" applyBorder="1"/>
    <xf numFmtId="10" fontId="12" fillId="0" borderId="2" xfId="17" applyNumberFormat="1" applyFont="1" applyFill="1" applyBorder="1"/>
    <xf numFmtId="10" fontId="12" fillId="0" borderId="2" xfId="0" applyNumberFormat="1" applyFont="1" applyBorder="1"/>
    <xf numFmtId="2" fontId="12" fillId="0" borderId="2" xfId="0" applyNumberFormat="1" applyFont="1" applyBorder="1"/>
    <xf numFmtId="3" fontId="12" fillId="0" borderId="11" xfId="0" applyNumberFormat="1" applyFont="1" applyBorder="1"/>
    <xf numFmtId="3" fontId="12" fillId="0" borderId="12" xfId="0" applyNumberFormat="1" applyFont="1" applyBorder="1"/>
    <xf numFmtId="3" fontId="12" fillId="0" borderId="13" xfId="0" applyNumberFormat="1" applyFont="1" applyBorder="1"/>
    <xf numFmtId="180" fontId="12" fillId="0" borderId="7" xfId="0" applyNumberFormat="1" applyFont="1" applyBorder="1"/>
    <xf numFmtId="180" fontId="12" fillId="0" borderId="8" xfId="0" applyNumberFormat="1" applyFont="1" applyBorder="1"/>
    <xf numFmtId="183" fontId="12" fillId="0" borderId="2" xfId="0" applyNumberFormat="1" applyFont="1" applyBorder="1"/>
  </cellXfs>
  <cellStyles count="21">
    <cellStyle name="Availability" xfId="1" xr:uid="{00000000-0005-0000-0000-000000000000}"/>
    <cellStyle name="Comma" xfId="2" builtinId="3"/>
    <cellStyle name="Comma  - Style1" xfId="3" xr:uid="{00000000-0005-0000-0000-000002000000}"/>
    <cellStyle name="Comma  - Style2" xfId="4" xr:uid="{00000000-0005-0000-0000-000003000000}"/>
    <cellStyle name="Comma  - Style3" xfId="5" xr:uid="{00000000-0005-0000-0000-000004000000}"/>
    <cellStyle name="Comma  - Style4" xfId="6" xr:uid="{00000000-0005-0000-0000-000005000000}"/>
    <cellStyle name="Comma  - Style5" xfId="7" xr:uid="{00000000-0005-0000-0000-000006000000}"/>
    <cellStyle name="Comma  - Style6" xfId="8" xr:uid="{00000000-0005-0000-0000-000007000000}"/>
    <cellStyle name="Comma  - Style7" xfId="9" xr:uid="{00000000-0005-0000-0000-000008000000}"/>
    <cellStyle name="Comma  - Style8" xfId="10" xr:uid="{00000000-0005-0000-0000-000009000000}"/>
    <cellStyle name="Currency" xfId="19" builtinId="4"/>
    <cellStyle name="Hyperlink" xfId="20" builtinId="8"/>
    <cellStyle name="Input Titles" xfId="11" xr:uid="{00000000-0005-0000-0000-00000A000000}"/>
    <cellStyle name="Input%" xfId="12" xr:uid="{00000000-0005-0000-0000-00000B000000}"/>
    <cellStyle name="InputDate" xfId="13" xr:uid="{00000000-0005-0000-0000-00000C000000}"/>
    <cellStyle name="InputDecimal" xfId="14" xr:uid="{00000000-0005-0000-0000-00000D000000}"/>
    <cellStyle name="InputValue" xfId="15" xr:uid="{00000000-0005-0000-0000-00000E000000}"/>
    <cellStyle name="Normal" xfId="0" builtinId="0"/>
    <cellStyle name="Normal - Style1" xfId="16" xr:uid="{00000000-0005-0000-0000-000010000000}"/>
    <cellStyle name="Percent" xfId="17" builtinId="5"/>
    <cellStyle name="Role" xfId="18" xr:uid="{00000000-0005-0000-0000-00001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4FF"/>
      <color rgb="FF000A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man Old Style" panose="02050604050505020204" pitchFamily="18" charset="0"/>
                <a:ea typeface="+mn-ea"/>
                <a:cs typeface="+mn-cs"/>
              </a:defRPr>
            </a:pPr>
            <a:r>
              <a:rPr lang="en-US" sz="1200" b="0" i="0" u="none" strike="noStrike" baseline="0">
                <a:latin typeface="Bookman Old Style" panose="02050604050505020204" pitchFamily="18" charset="0"/>
              </a:rPr>
              <a:t>Revenue Transition: TV Media Decline and DTC Expansion </a:t>
            </a:r>
            <a:endParaRPr lang="en-US" sz="1200" b="0">
              <a:latin typeface="Bookman Old Style" panose="02050604050505020204" pitchFamily="18" charset="0"/>
            </a:endParaRPr>
          </a:p>
        </c:rich>
      </c:tx>
      <c:layout>
        <c:manualLayout>
          <c:xMode val="edge"/>
          <c:yMode val="edge"/>
          <c:x val="0.14746494066882415"/>
          <c:y val="4.57665903890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man Old Style" panose="020506040505050202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&amp; Tables'!$B$22</c:f>
              <c:strCache>
                <c:ptCount val="1"/>
                <c:pt idx="0">
                  <c:v>TV Media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'Graphs &amp; Tables'!$C$21:$J$21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Tables'!$C$22:$J$22</c:f>
              <c:numCache>
                <c:formatCode>0.00%</c:formatCode>
                <c:ptCount val="8"/>
                <c:pt idx="0">
                  <c:v>0.73198969054175678</c:v>
                </c:pt>
                <c:pt idx="1">
                  <c:v>0.67449048921025501</c:v>
                </c:pt>
                <c:pt idx="2">
                  <c:v>0.6392602073598147</c:v>
                </c:pt>
                <c:pt idx="3">
                  <c:v>0.62027459460494194</c:v>
                </c:pt>
                <c:pt idx="4">
                  <c:v>0.58861158221389154</c:v>
                </c:pt>
                <c:pt idx="5">
                  <c:v>0.5929991359125969</c:v>
                </c:pt>
                <c:pt idx="6">
                  <c:v>0.58379543311121018</c:v>
                </c:pt>
                <c:pt idx="7">
                  <c:v>0.56871966945263575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B-C949-BC88-ADA1456EB962}"/>
            </c:ext>
          </c:extLst>
        </c:ser>
        <c:ser>
          <c:idx val="1"/>
          <c:order val="1"/>
          <c:tx>
            <c:strRef>
              <c:f>'Graphs &amp; Tables'!$B$23</c:f>
              <c:strCache>
                <c:ptCount val="1"/>
                <c:pt idx="0">
                  <c:v>Direct to 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'Graphs &amp; Tables'!$C$21:$J$21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Tables'!$C$23:$J$23</c:f>
              <c:numCache>
                <c:formatCode>0.00%</c:formatCode>
                <c:ptCount val="8"/>
                <c:pt idx="0">
                  <c:v>0.16517815226633462</c:v>
                </c:pt>
                <c:pt idx="1">
                  <c:v>0.22620778548227818</c:v>
                </c:pt>
                <c:pt idx="2">
                  <c:v>0.25980618075208961</c:v>
                </c:pt>
                <c:pt idx="3">
                  <c:v>0.28308337909804765</c:v>
                </c:pt>
                <c:pt idx="4">
                  <c:v>0.2889373519274413</c:v>
                </c:pt>
                <c:pt idx="5">
                  <c:v>0.31352159635321275</c:v>
                </c:pt>
                <c:pt idx="6">
                  <c:v>0.32809149817406608</c:v>
                </c:pt>
                <c:pt idx="7">
                  <c:v>0.34254706989526817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B-C949-BC88-ADA1456EB962}"/>
            </c:ext>
          </c:extLst>
        </c:ser>
        <c:ser>
          <c:idx val="2"/>
          <c:order val="2"/>
          <c:tx>
            <c:strRef>
              <c:f>'Graphs &amp; Tables'!$B$24</c:f>
              <c:strCache>
                <c:ptCount val="1"/>
                <c:pt idx="0">
                  <c:v>Filmed Entertainment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'Graphs &amp; Tables'!$C$21:$J$21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Tables'!$C$24:$J$24</c:f>
              <c:numCache>
                <c:formatCode>0.00%</c:formatCode>
                <c:ptCount val="8"/>
                <c:pt idx="0">
                  <c:v>0.10283215719190857</c:v>
                </c:pt>
                <c:pt idx="1">
                  <c:v>9.9301725307466837E-2</c:v>
                </c:pt>
                <c:pt idx="2">
                  <c:v>0.10093361188809562</c:v>
                </c:pt>
                <c:pt idx="3">
                  <c:v>9.6642026297010464E-2</c:v>
                </c:pt>
                <c:pt idx="4">
                  <c:v>0.12245106585866722</c:v>
                </c:pt>
                <c:pt idx="5">
                  <c:v>9.3479267734190338E-2</c:v>
                </c:pt>
                <c:pt idx="6">
                  <c:v>8.8113068714723811E-2</c:v>
                </c:pt>
                <c:pt idx="7">
                  <c:v>8.8733260652096052E-2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B-C949-BC88-ADA1456E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91760"/>
        <c:axId val="2143903648"/>
      </c:barChart>
      <c:catAx>
        <c:axId val="40059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03648"/>
        <c:crosses val="autoZero"/>
        <c:auto val="1"/>
        <c:lblAlgn val="ctr"/>
        <c:lblOffset val="100"/>
        <c:noMultiLvlLbl val="0"/>
      </c:catAx>
      <c:valAx>
        <c:axId val="21439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9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Bookman Old Style" panose="02050604050505020204" pitchFamily="18" charset="0"/>
              </a:rPr>
              <a:t>Declining Earnings and Structural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&amp; Tables'!$B$27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'Graphs &amp; Tables'!$C$26:$J$26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Tables'!$C$27:$J$27</c:f>
              <c:numCache>
                <c:formatCode>0.00%</c:formatCode>
                <c:ptCount val="8"/>
                <c:pt idx="0">
                  <c:v>9.2525363840868929E-2</c:v>
                </c:pt>
                <c:pt idx="1">
                  <c:v>1.6790957948506398E-3</c:v>
                </c:pt>
                <c:pt idx="2">
                  <c:v>7.3564092846601897E-2</c:v>
                </c:pt>
                <c:pt idx="3">
                  <c:v>6.9906783488447158E-2</c:v>
                </c:pt>
                <c:pt idx="4">
                  <c:v>4.73674270502627E-2</c:v>
                </c:pt>
                <c:pt idx="5">
                  <c:v>4.2322167315190923E-2</c:v>
                </c:pt>
                <c:pt idx="6">
                  <c:v>3.816047725832554E-2</c:v>
                </c:pt>
                <c:pt idx="7">
                  <c:v>3.3115342088474449E-2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8-D643-8B01-A768D96B51CB}"/>
            </c:ext>
          </c:extLst>
        </c:ser>
        <c:ser>
          <c:idx val="1"/>
          <c:order val="1"/>
          <c:tx>
            <c:strRef>
              <c:f>'Graphs &amp; Tables'!$B$28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'Graphs &amp; Tables'!$C$26:$J$26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Tables'!$C$28:$J$28</c:f>
              <c:numCache>
                <c:formatCode>0.00%</c:formatCode>
                <c:ptCount val="8"/>
                <c:pt idx="0">
                  <c:v>7.8884019699787047E-2</c:v>
                </c:pt>
                <c:pt idx="1">
                  <c:v>-1.2358145050100709E-2</c:v>
                </c:pt>
                <c:pt idx="2">
                  <c:v>6.0219750229356203E-2</c:v>
                </c:pt>
                <c:pt idx="3">
                  <c:v>5.6562440871201471E-2</c:v>
                </c:pt>
                <c:pt idx="4">
                  <c:v>3.4023084433017006E-2</c:v>
                </c:pt>
                <c:pt idx="5">
                  <c:v>2.8977824697945225E-2</c:v>
                </c:pt>
                <c:pt idx="6">
                  <c:v>2.4816134641079846E-2</c:v>
                </c:pt>
                <c:pt idx="7">
                  <c:v>1.9770999471228755E-2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8-D643-8B01-A768D96B51CB}"/>
            </c:ext>
          </c:extLst>
        </c:ser>
        <c:ser>
          <c:idx val="2"/>
          <c:order val="2"/>
          <c:tx>
            <c:strRef>
              <c:f>'Graphs &amp; Tables'!$B$29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'Graphs &amp; Tables'!$C$26:$J$26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'Graphs &amp; Tables'!$C$29:$J$29</c:f>
              <c:numCache>
                <c:formatCode>0.00%</c:formatCode>
                <c:ptCount val="8"/>
                <c:pt idx="0">
                  <c:v>3.7185293658652821E-2</c:v>
                </c:pt>
                <c:pt idx="1">
                  <c:v>-1.7630505845931718E-2</c:v>
                </c:pt>
                <c:pt idx="2">
                  <c:v>2.8867353416898847E-2</c:v>
                </c:pt>
                <c:pt idx="3">
                  <c:v>2.622573123704796E-2</c:v>
                </c:pt>
                <c:pt idx="4">
                  <c:v>3.6661704403140797E-3</c:v>
                </c:pt>
                <c:pt idx="5">
                  <c:v>-3.3161292758677719E-3</c:v>
                </c:pt>
                <c:pt idx="6">
                  <c:v>-8.3159349674423629E-3</c:v>
                </c:pt>
                <c:pt idx="7">
                  <c:v>-1.4142583361273726E-2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8-D643-8B01-A768D96B5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4055600"/>
        <c:axId val="2124291168"/>
      </c:barChart>
      <c:catAx>
        <c:axId val="21240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291168"/>
        <c:crosses val="autoZero"/>
        <c:auto val="1"/>
        <c:lblAlgn val="ctr"/>
        <c:lblOffset val="100"/>
        <c:noMultiLvlLbl val="0"/>
      </c:catAx>
      <c:valAx>
        <c:axId val="21242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05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3</xdr:row>
      <xdr:rowOff>3528</xdr:rowOff>
    </xdr:from>
    <xdr:to>
      <xdr:col>16</xdr:col>
      <xdr:colOff>292100</xdr:colOff>
      <xdr:row>18</xdr:row>
      <xdr:rowOff>103011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12B34E4-5198-45BC-EF5A-8078C5814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20</xdr:row>
      <xdr:rowOff>6350</xdr:rowOff>
    </xdr:from>
    <xdr:to>
      <xdr:col>16</xdr:col>
      <xdr:colOff>317500</xdr:colOff>
      <xdr:row>36</xdr:row>
      <xdr:rowOff>88900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BFFF24F-EC01-2257-C891-F429C985A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iadynamicsinc.com/uploads/files/UPFRONT-2024-25-PRESS-RELEASE-FINAL-MZ4.pdf" TargetMode="External"/><Relationship Id="rId2" Type="http://schemas.openxmlformats.org/officeDocument/2006/relationships/hyperlink" Target="https://clients-mintel-com.ezproxy.bu.edu/report/television-advertising-incl-impact-of-covid-19-us-august-2020?fromSearch=%3Ffilters.category%3D120%26filters.region%3D14%26freetext%3DTV%26resultPosition%3D13" TargetMode="External"/><Relationship Id="rId1" Type="http://schemas.openxmlformats.org/officeDocument/2006/relationships/hyperlink" Target="https://adsmanager.paramount.com/insights/ctv-advertising-cos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B197-FE38-4C4F-9C9C-4B96388B0B7D}">
  <dimension ref="A1:Z223"/>
  <sheetViews>
    <sheetView zoomScale="65" zoomScaleNormal="75" workbookViewId="0">
      <pane ySplit="5" topLeftCell="A33" activePane="bottomLeft" state="frozen"/>
      <selection pane="bottomLeft" activeCell="D59" sqref="D59"/>
    </sheetView>
  </sheetViews>
  <sheetFormatPr baseColWidth="10" defaultColWidth="9.33203125" defaultRowHeight="22" customHeight="1"/>
  <cols>
    <col min="1" max="1" width="44.33203125" style="7" customWidth="1"/>
    <col min="2" max="2" width="67" style="7" customWidth="1"/>
    <col min="3" max="5" width="12.83203125" style="7" customWidth="1"/>
    <col min="6" max="6" width="11.33203125" style="7" customWidth="1"/>
    <col min="7" max="8" width="12.83203125" style="7" customWidth="1"/>
    <col min="9" max="9" width="13" style="7" customWidth="1"/>
    <col min="10" max="11" width="12.83203125" style="7" customWidth="1"/>
    <col min="12" max="12" width="27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6" t="s">
        <v>0</v>
      </c>
      <c r="B1" s="56"/>
      <c r="C1" s="57"/>
      <c r="D1" s="57"/>
      <c r="E1" s="57"/>
      <c r="F1" s="57"/>
      <c r="G1" s="57"/>
      <c r="H1" s="57"/>
      <c r="I1" s="57"/>
    </row>
    <row r="2" spans="1:23" s="1" customFormat="1" ht="22" customHeight="1">
      <c r="A2" s="57" t="s">
        <v>1</v>
      </c>
      <c r="B2" s="57"/>
      <c r="C2" s="57"/>
      <c r="D2" s="57"/>
      <c r="E2" s="57"/>
      <c r="F2" s="57"/>
      <c r="G2" s="59"/>
      <c r="H2" s="59"/>
      <c r="I2" s="57"/>
      <c r="J2" s="11"/>
      <c r="K2" s="11"/>
      <c r="O2" s="11"/>
      <c r="P2" s="11"/>
      <c r="T2" s="11"/>
      <c r="U2" s="21"/>
    </row>
    <row r="3" spans="1:23" s="1" customFormat="1" ht="22" customHeight="1">
      <c r="A3" s="57" t="s">
        <v>2</v>
      </c>
      <c r="B3" s="57"/>
      <c r="C3" s="57"/>
      <c r="D3" s="57"/>
      <c r="E3" s="57"/>
      <c r="F3" s="57"/>
      <c r="G3" s="59"/>
      <c r="H3" s="59"/>
      <c r="I3" s="57"/>
      <c r="J3" s="11"/>
      <c r="K3" s="11"/>
      <c r="O3" s="11"/>
      <c r="P3" s="11"/>
      <c r="T3" s="11"/>
      <c r="U3" s="11"/>
    </row>
    <row r="4" spans="1:23" s="1" customFormat="1" ht="22" customHeight="1">
      <c r="A4" s="57" t="s">
        <v>7</v>
      </c>
      <c r="B4" s="57"/>
      <c r="C4" s="57"/>
      <c r="D4" s="57"/>
      <c r="E4" s="57"/>
      <c r="F4" s="57"/>
      <c r="G4" s="59"/>
      <c r="H4" s="59"/>
      <c r="I4" s="57"/>
      <c r="J4" s="11"/>
      <c r="K4" s="11"/>
      <c r="O4" s="11"/>
      <c r="P4" s="11"/>
      <c r="T4" s="11"/>
      <c r="U4" s="11"/>
    </row>
    <row r="5" spans="1:23" s="1" customFormat="1" ht="22" customHeight="1">
      <c r="A5" s="67" t="s">
        <v>3</v>
      </c>
      <c r="B5" s="67" t="s">
        <v>6</v>
      </c>
      <c r="C5" s="67">
        <v>2022</v>
      </c>
      <c r="D5" s="67">
        <v>2023</v>
      </c>
      <c r="E5" s="67">
        <v>2024</v>
      </c>
      <c r="F5" s="67">
        <v>2025</v>
      </c>
      <c r="G5" s="67">
        <v>2026</v>
      </c>
      <c r="H5" s="67">
        <v>2027</v>
      </c>
      <c r="I5" s="67">
        <v>2028</v>
      </c>
      <c r="J5" s="67">
        <v>2029</v>
      </c>
      <c r="K5" s="9"/>
      <c r="L5" s="9"/>
      <c r="M5" s="9"/>
      <c r="O5" s="9"/>
      <c r="P5" s="9"/>
      <c r="Q5" s="9"/>
      <c r="R5" s="9"/>
      <c r="T5" s="9"/>
      <c r="U5" s="9"/>
      <c r="V5" s="9"/>
      <c r="W5" s="9"/>
    </row>
    <row r="6" spans="1:23" s="1" customFormat="1" ht="22" customHeight="1">
      <c r="A6" s="68" t="s">
        <v>22</v>
      </c>
      <c r="B6" s="61"/>
      <c r="G6" s="71"/>
      <c r="I6" s="66"/>
    </row>
    <row r="7" spans="1:23" s="1" customFormat="1" ht="22" customHeight="1">
      <c r="A7" s="60" t="s">
        <v>26</v>
      </c>
      <c r="B7" s="63" t="s">
        <v>12</v>
      </c>
      <c r="C7" s="72">
        <v>-9.4700000000000006E-2</v>
      </c>
      <c r="D7" s="72">
        <v>-0.14430000000000001</v>
      </c>
      <c r="E7" s="72">
        <v>-0.121</v>
      </c>
      <c r="F7" s="72">
        <v>-0.1789</v>
      </c>
      <c r="G7" s="70">
        <f>-13%</f>
        <v>-0.13</v>
      </c>
      <c r="H7" s="2">
        <f>G7</f>
        <v>-0.13</v>
      </c>
      <c r="I7" s="2">
        <f>G7</f>
        <v>-0.13</v>
      </c>
      <c r="J7" s="2">
        <f>H7</f>
        <v>-0.13</v>
      </c>
    </row>
    <row r="8" spans="1:23" s="2" customFormat="1" ht="22" customHeight="1">
      <c r="B8" s="57" t="s">
        <v>21</v>
      </c>
      <c r="C8" s="41">
        <v>0.02</v>
      </c>
      <c r="D8" s="41">
        <v>0.02</v>
      </c>
      <c r="E8" s="41">
        <v>0.02</v>
      </c>
      <c r="F8" s="41">
        <v>0.02</v>
      </c>
      <c r="G8" s="73">
        <v>0.02</v>
      </c>
      <c r="H8" s="41">
        <f>G8</f>
        <v>0.02</v>
      </c>
      <c r="I8" s="41">
        <f>G8</f>
        <v>0.02</v>
      </c>
      <c r="J8" s="41">
        <f>H8</f>
        <v>0.02</v>
      </c>
      <c r="L8" s="74" t="s">
        <v>18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B9" s="57" t="s">
        <v>13</v>
      </c>
      <c r="C9" s="41">
        <v>0</v>
      </c>
      <c r="D9" s="41">
        <v>0</v>
      </c>
      <c r="E9" s="41">
        <v>0.03</v>
      </c>
      <c r="F9" s="71">
        <v>0</v>
      </c>
      <c r="G9" s="3">
        <v>0.01</v>
      </c>
      <c r="H9" s="71">
        <v>0</v>
      </c>
      <c r="I9" s="41">
        <v>0.03</v>
      </c>
      <c r="J9" s="41">
        <v>0</v>
      </c>
      <c r="L9" s="74" t="s">
        <v>19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B10" s="57" t="s">
        <v>17</v>
      </c>
      <c r="C10" s="71">
        <v>0</v>
      </c>
      <c r="D10" s="71">
        <v>0</v>
      </c>
      <c r="E10" s="71">
        <v>7.0000000000000007E-2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L10" s="74" t="s">
        <v>20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>
      <c r="B11" s="57" t="s">
        <v>16</v>
      </c>
      <c r="C11" s="72">
        <f t="shared" ref="C11:J11" si="0">SUM(C7:C10)</f>
        <v>-7.4700000000000003E-2</v>
      </c>
      <c r="D11" s="72">
        <f t="shared" si="0"/>
        <v>-0.12430000000000001</v>
      </c>
      <c r="E11" s="72">
        <f t="shared" si="0"/>
        <v>-9.9999999999998701E-4</v>
      </c>
      <c r="F11" s="72">
        <f>SUM(F7:F10)</f>
        <v>-0.15890000000000001</v>
      </c>
      <c r="G11" s="72">
        <f>SUM(G7:G10)</f>
        <v>-0.1</v>
      </c>
      <c r="H11" s="72">
        <f t="shared" si="0"/>
        <v>-0.11</v>
      </c>
      <c r="I11" s="72">
        <f t="shared" si="0"/>
        <v>-0.08</v>
      </c>
      <c r="J11" s="72">
        <f t="shared" si="0"/>
        <v>-0.11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B12" s="63" t="s">
        <v>23</v>
      </c>
      <c r="C12" s="29">
        <f>10105*(1+C11)</f>
        <v>9350.156500000001</v>
      </c>
      <c r="D12" s="28">
        <f t="shared" ref="D12:J12" si="1">C12*(D11+1)</f>
        <v>8187.9320470500015</v>
      </c>
      <c r="E12" s="28">
        <f t="shared" si="1"/>
        <v>8179.7441150029517</v>
      </c>
      <c r="F12" s="28">
        <f t="shared" si="1"/>
        <v>6879.9827751289822</v>
      </c>
      <c r="G12" s="28">
        <f t="shared" si="1"/>
        <v>6191.9844976160839</v>
      </c>
      <c r="H12" s="28">
        <f t="shared" si="1"/>
        <v>5510.8662028783147</v>
      </c>
      <c r="I12" s="28">
        <f t="shared" si="1"/>
        <v>5069.9969066480498</v>
      </c>
      <c r="J12" s="28">
        <f t="shared" si="1"/>
        <v>4512.2972469167644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>
      <c r="A13" s="75" t="s">
        <v>27</v>
      </c>
      <c r="B13" s="57"/>
      <c r="C13" s="82"/>
      <c r="D13" s="82"/>
      <c r="E13" s="82"/>
      <c r="F13" s="8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>
      <c r="B14" s="57" t="s">
        <v>4</v>
      </c>
      <c r="C14" s="32">
        <v>75.82499</v>
      </c>
      <c r="D14" s="32">
        <v>74.944379999999995</v>
      </c>
      <c r="E14" s="32">
        <v>70.884320000000002</v>
      </c>
      <c r="F14" s="32">
        <v>67.343339999999998</v>
      </c>
      <c r="G14" s="1">
        <f>F14*(G15+1)</f>
        <v>63.976172999999996</v>
      </c>
      <c r="H14" s="1">
        <f t="shared" ref="H14:J14" si="2">G14*(H15+1)</f>
        <v>60.777364349999992</v>
      </c>
      <c r="I14" s="1">
        <f t="shared" si="2"/>
        <v>57.738496132499989</v>
      </c>
      <c r="J14" s="1">
        <f t="shared" si="2"/>
        <v>54.851571325874986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>
      <c r="A15" s="4"/>
      <c r="B15" s="57" t="s">
        <v>32</v>
      </c>
      <c r="C15" s="71">
        <f>(C14/56)-1</f>
        <v>0.35401767857142863</v>
      </c>
      <c r="D15" s="72">
        <f>(D14/75.82499)-1</f>
        <v>-1.1613717324591821E-2</v>
      </c>
      <c r="E15" s="72">
        <f t="shared" ref="E15:F15" si="3">(E14/D14)-1</f>
        <v>-5.4174309000888266E-2</v>
      </c>
      <c r="F15" s="72">
        <f t="shared" si="3"/>
        <v>-4.995434815485289E-2</v>
      </c>
      <c r="G15" s="73">
        <v>-0.05</v>
      </c>
      <c r="H15" s="80">
        <f>G15</f>
        <v>-0.05</v>
      </c>
      <c r="I15" s="80">
        <f>H15</f>
        <v>-0.05</v>
      </c>
      <c r="J15" s="80">
        <f>I15</f>
        <v>-0.05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>
      <c r="A16" s="2"/>
      <c r="B16" s="69" t="s">
        <v>14</v>
      </c>
      <c r="C16" s="83">
        <v>8.99</v>
      </c>
      <c r="D16" s="83">
        <v>8.99</v>
      </c>
      <c r="E16" s="83">
        <v>8.99</v>
      </c>
      <c r="F16" s="83">
        <v>8.99</v>
      </c>
      <c r="G16" s="84">
        <v>8.99</v>
      </c>
      <c r="H16" s="83">
        <f>$G$16</f>
        <v>8.99</v>
      </c>
      <c r="I16" s="83">
        <f t="shared" ref="I16:J16" si="4">$G$16</f>
        <v>8.99</v>
      </c>
      <c r="J16" s="83">
        <f t="shared" si="4"/>
        <v>8.99</v>
      </c>
      <c r="K16" s="3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1" customFormat="1" ht="22" customHeight="1">
      <c r="B17" s="69" t="s">
        <v>30</v>
      </c>
      <c r="C17" s="29">
        <f>C16*12</f>
        <v>107.88</v>
      </c>
      <c r="D17" s="29">
        <f>D16*12</f>
        <v>107.88</v>
      </c>
      <c r="E17" s="29">
        <f>E16*12</f>
        <v>107.88</v>
      </c>
      <c r="F17" s="29">
        <f>F16*12</f>
        <v>107.88</v>
      </c>
      <c r="G17" s="29">
        <f t="shared" ref="G17:J17" si="5">G16*12</f>
        <v>107.88</v>
      </c>
      <c r="H17" s="29">
        <f t="shared" si="5"/>
        <v>107.88</v>
      </c>
      <c r="I17" s="29">
        <f t="shared" si="5"/>
        <v>107.88</v>
      </c>
      <c r="J17" s="29">
        <f t="shared" si="5"/>
        <v>107.88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2" customFormat="1" ht="22" customHeight="1">
      <c r="A18" s="1"/>
      <c r="B18" s="69" t="s">
        <v>15</v>
      </c>
      <c r="C18" s="2">
        <v>0</v>
      </c>
      <c r="D18" s="2">
        <f t="shared" ref="D18:J18" si="6">(D17/C17)-1</f>
        <v>0</v>
      </c>
      <c r="E18" s="2">
        <f t="shared" si="6"/>
        <v>0</v>
      </c>
      <c r="F18" s="2">
        <f t="shared" si="6"/>
        <v>0</v>
      </c>
      <c r="G18" s="2">
        <f t="shared" si="6"/>
        <v>0</v>
      </c>
      <c r="H18" s="2">
        <f t="shared" si="6"/>
        <v>0</v>
      </c>
      <c r="I18" s="2">
        <f t="shared" si="6"/>
        <v>0</v>
      </c>
      <c r="J18" s="2">
        <f t="shared" si="6"/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5" s="4" customFormat="1" ht="22" customHeight="1">
      <c r="A19" s="1"/>
      <c r="B19" s="57" t="s">
        <v>16</v>
      </c>
      <c r="C19" s="39">
        <f>(C20/8413)-1</f>
        <v>-2.7695242933555297E-2</v>
      </c>
      <c r="D19" s="39">
        <f>(D20/8180)-1</f>
        <v>-1.1613726845965844E-2</v>
      </c>
      <c r="E19" s="39">
        <f t="shared" ref="E19:I19" si="7">(E20/D20)-1</f>
        <v>-5.4174309000888266E-2</v>
      </c>
      <c r="F19" s="39">
        <f t="shared" si="7"/>
        <v>-4.995434815485289E-2</v>
      </c>
      <c r="G19" s="39">
        <f t="shared" si="7"/>
        <v>-5.0000000000000044E-2</v>
      </c>
      <c r="H19" s="39">
        <f t="shared" si="7"/>
        <v>-5.0000000000000044E-2</v>
      </c>
      <c r="I19" s="39">
        <f t="shared" si="7"/>
        <v>-5.0000000000000044E-2</v>
      </c>
      <c r="J19" s="39">
        <f>(J20/I20)-1</f>
        <v>-5.0000000000000155E-2</v>
      </c>
    </row>
    <row r="20" spans="1:25" s="4" customFormat="1" ht="22" customHeight="1">
      <c r="A20" s="2"/>
      <c r="B20" s="69" t="s">
        <v>31</v>
      </c>
      <c r="C20" s="4">
        <f t="shared" ref="C20:J20" si="8">C14*C17</f>
        <v>8179.9999211999993</v>
      </c>
      <c r="D20" s="4">
        <f t="shared" si="8"/>
        <v>8084.999714399999</v>
      </c>
      <c r="E20" s="4">
        <f t="shared" si="8"/>
        <v>7647.0004416000002</v>
      </c>
      <c r="F20" s="4">
        <f t="shared" si="8"/>
        <v>7264.9995191999997</v>
      </c>
      <c r="G20" s="4">
        <f t="shared" si="8"/>
        <v>6901.7495432399992</v>
      </c>
      <c r="H20" s="4">
        <f t="shared" si="8"/>
        <v>6556.662066077999</v>
      </c>
      <c r="I20" s="4">
        <f t="shared" si="8"/>
        <v>6228.8289627740987</v>
      </c>
      <c r="J20" s="4">
        <f t="shared" si="8"/>
        <v>5917.387514635393</v>
      </c>
    </row>
    <row r="21" spans="1:25" s="2" customFormat="1" ht="22" customHeight="1">
      <c r="A21" s="76" t="s">
        <v>28</v>
      </c>
      <c r="B21" s="64"/>
      <c r="C21" s="81"/>
      <c r="D21" s="81"/>
      <c r="E21" s="81"/>
      <c r="F21" s="14"/>
    </row>
    <row r="22" spans="1:25" s="2" customFormat="1" ht="22" customHeight="1">
      <c r="B22" s="57" t="s">
        <v>16</v>
      </c>
      <c r="C22" s="72">
        <f>(C23/4126)-1</f>
        <v>1.8419777023751749E-2</v>
      </c>
      <c r="D22" s="72">
        <f>(D23/4202)-1</f>
        <v>-9.28129462160876E-2</v>
      </c>
      <c r="E22" s="72">
        <f>(E23/D23)-1</f>
        <v>-0.22560335781741869</v>
      </c>
      <c r="F22" s="72">
        <f>(F23/E23)-1</f>
        <v>0.51355013550135498</v>
      </c>
      <c r="G22" s="70">
        <v>0.02</v>
      </c>
      <c r="H22" s="2">
        <f>G22</f>
        <v>0.02</v>
      </c>
      <c r="I22" s="2">
        <f>H22</f>
        <v>0.02</v>
      </c>
      <c r="J22" s="2">
        <f>I22</f>
        <v>0.02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B23" s="63" t="s">
        <v>29</v>
      </c>
      <c r="C23" s="14">
        <v>4202</v>
      </c>
      <c r="D23" s="14">
        <v>3812</v>
      </c>
      <c r="E23" s="14">
        <v>2952</v>
      </c>
      <c r="F23" s="14">
        <f>(3351/9)*12</f>
        <v>4468</v>
      </c>
      <c r="G23" s="81">
        <f>F23*(G22+1)</f>
        <v>4557.3599999999997</v>
      </c>
      <c r="H23" s="81">
        <f>G23*(H22+1)</f>
        <v>4648.5072</v>
      </c>
      <c r="I23" s="81">
        <f>H23*(I22+1)</f>
        <v>4741.4773439999999</v>
      </c>
      <c r="J23" s="81">
        <f>I23*(J22+1)</f>
        <v>4836.3068908799996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2" customFormat="1" ht="22" customHeight="1">
      <c r="A24" s="5"/>
      <c r="B24" s="77"/>
      <c r="C24" s="14"/>
      <c r="D24" s="14"/>
      <c r="E24" s="14"/>
      <c r="F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5" s="5" customFormat="1" ht="22" customHeight="1">
      <c r="B25" s="78" t="s">
        <v>33</v>
      </c>
      <c r="C25" s="14">
        <f t="shared" ref="C25:J25" si="9">C12+C20+C23</f>
        <v>21732.156421200001</v>
      </c>
      <c r="D25" s="14">
        <f t="shared" si="9"/>
        <v>20084.93176145</v>
      </c>
      <c r="E25" s="14">
        <f t="shared" si="9"/>
        <v>18778.744556602953</v>
      </c>
      <c r="F25" s="14">
        <f t="shared" si="9"/>
        <v>18612.982294328984</v>
      </c>
      <c r="G25" s="14">
        <f t="shared" si="9"/>
        <v>17651.094040856082</v>
      </c>
      <c r="H25" s="14">
        <f t="shared" si="9"/>
        <v>16716.035468956314</v>
      </c>
      <c r="I25" s="14">
        <f t="shared" si="9"/>
        <v>16040.303213422147</v>
      </c>
      <c r="J25" s="14">
        <f t="shared" si="9"/>
        <v>15265.991652432158</v>
      </c>
    </row>
    <row r="26" spans="1:25" s="1" customFormat="1" ht="22" customHeight="1">
      <c r="A26" s="4"/>
      <c r="B26" s="89" t="s">
        <v>42</v>
      </c>
      <c r="C26" s="71">
        <f t="shared" ref="C26:J26" si="10">C25/C62</f>
        <v>0.73198969054175678</v>
      </c>
      <c r="D26" s="71">
        <f t="shared" si="10"/>
        <v>0.67449048921025501</v>
      </c>
      <c r="E26" s="71">
        <f t="shared" si="10"/>
        <v>0.6392602073598147</v>
      </c>
      <c r="F26" s="71">
        <f t="shared" si="10"/>
        <v>0.62027459460494194</v>
      </c>
      <c r="G26" s="71">
        <f t="shared" si="10"/>
        <v>0.58861158221389154</v>
      </c>
      <c r="H26" s="71">
        <f t="shared" si="10"/>
        <v>0.5929991359125969</v>
      </c>
      <c r="I26" s="71">
        <f t="shared" si="10"/>
        <v>0.58379543311121018</v>
      </c>
      <c r="J26" s="71">
        <f t="shared" si="10"/>
        <v>0.56871966945263575</v>
      </c>
    </row>
    <row r="27" spans="1:25" s="4" customFormat="1" ht="22" customHeight="1">
      <c r="A27" s="5"/>
      <c r="B27" s="89" t="s">
        <v>52</v>
      </c>
      <c r="C27" s="15">
        <v>5451</v>
      </c>
      <c r="D27" s="14">
        <v>4791</v>
      </c>
      <c r="E27" s="14">
        <v>4348</v>
      </c>
      <c r="F27" s="14">
        <v>3350</v>
      </c>
      <c r="G27" s="5"/>
      <c r="H27" s="5"/>
      <c r="I27" s="5"/>
      <c r="J27" s="1"/>
      <c r="K27" s="1"/>
      <c r="L27" s="1"/>
      <c r="M27" s="1"/>
      <c r="N27" s="1"/>
      <c r="O27" s="5"/>
      <c r="P27" s="5"/>
      <c r="Q27" s="5"/>
      <c r="R27" s="5"/>
      <c r="S27" s="2"/>
    </row>
    <row r="28" spans="1:25" s="5" customFormat="1" ht="22" customHeight="1">
      <c r="B28" s="78" t="s">
        <v>11</v>
      </c>
      <c r="C28" s="71">
        <f>C29/C25</f>
        <v>0.23718512214932633</v>
      </c>
      <c r="D28" s="3">
        <f>D29/D25</f>
        <v>0.2244997906422854</v>
      </c>
      <c r="E28" s="3">
        <f>E29/E25</f>
        <v>0.21819403242663674</v>
      </c>
      <c r="F28" s="71">
        <v>0.2</v>
      </c>
      <c r="G28" s="73">
        <v>0.2</v>
      </c>
      <c r="H28" s="71">
        <f>G28</f>
        <v>0.2</v>
      </c>
      <c r="I28" s="71">
        <f>G28</f>
        <v>0.2</v>
      </c>
      <c r="J28" s="71">
        <f>H28</f>
        <v>0.2</v>
      </c>
      <c r="K28" s="14"/>
      <c r="L28" s="14"/>
      <c r="M28" s="14"/>
      <c r="N28" s="14"/>
      <c r="O28" s="14"/>
      <c r="P28" s="14"/>
      <c r="Q28" s="14"/>
      <c r="R28" s="14"/>
      <c r="S28" s="2"/>
      <c r="Y28" s="39"/>
    </row>
    <row r="29" spans="1:25" s="5" customFormat="1" ht="22" customHeight="1">
      <c r="A29" s="4"/>
      <c r="B29" s="79" t="s">
        <v>5</v>
      </c>
      <c r="C29" s="14">
        <f>C27-(405*C26)</f>
        <v>5154.5441753305886</v>
      </c>
      <c r="D29" s="14">
        <f>D27-(418*D26)</f>
        <v>4509.0629755101136</v>
      </c>
      <c r="E29" s="14">
        <f>E27-(E26*392)</f>
        <v>4097.409998714953</v>
      </c>
      <c r="F29" s="14">
        <f>F25*F28</f>
        <v>3722.5964588657971</v>
      </c>
      <c r="G29" s="14">
        <f>G25*G28</f>
        <v>3530.2188081712166</v>
      </c>
      <c r="H29" s="14">
        <f>H25*H28</f>
        <v>3343.2070937912631</v>
      </c>
      <c r="I29" s="14">
        <f>I25*I28</f>
        <v>3208.0606426844297</v>
      </c>
      <c r="J29" s="14">
        <f>J25*J28</f>
        <v>3053.1983304864316</v>
      </c>
      <c r="K29" s="23"/>
      <c r="L29" s="23"/>
      <c r="M29" s="23"/>
      <c r="N29" s="23"/>
      <c r="O29" s="23"/>
      <c r="P29" s="23"/>
      <c r="Q29" s="23"/>
      <c r="R29" s="23"/>
      <c r="S29" s="2"/>
      <c r="Y29" s="41"/>
    </row>
    <row r="30" spans="1:25" s="1" customFormat="1" ht="22" customHeight="1">
      <c r="G30" s="71"/>
      <c r="J30" s="23"/>
      <c r="K30" s="23"/>
      <c r="L30" s="23"/>
      <c r="M30" s="23"/>
      <c r="N30" s="23"/>
      <c r="O30" s="23"/>
      <c r="P30" s="23"/>
      <c r="Q30" s="23"/>
      <c r="R30" s="23"/>
      <c r="S30" s="13"/>
      <c r="W30" s="5"/>
    </row>
    <row r="31" spans="1:25" s="1" customFormat="1" ht="22" customHeight="1">
      <c r="A31" s="65" t="s">
        <v>24</v>
      </c>
      <c r="B31" s="77"/>
      <c r="C31" s="23"/>
      <c r="D31" s="23"/>
      <c r="E31" s="23"/>
      <c r="F31" s="4"/>
      <c r="G31" s="4"/>
      <c r="H31" s="4"/>
      <c r="I31" s="2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5" s="1" customFormat="1" ht="22" customHeight="1">
      <c r="A32" s="4"/>
      <c r="B32" s="64" t="s">
        <v>8</v>
      </c>
      <c r="C32" s="23">
        <v>56</v>
      </c>
      <c r="D32" s="85">
        <v>67.5</v>
      </c>
      <c r="E32" s="85">
        <v>77.5</v>
      </c>
      <c r="F32" s="33">
        <f>(79.1/12)*12</f>
        <v>79.099999999999994</v>
      </c>
      <c r="G32" s="6">
        <f>+F32*(1+G33)</f>
        <v>80.682000000000002</v>
      </c>
      <c r="H32" s="6">
        <f t="shared" ref="H32:J32" si="11">+G32*(1+H33)</f>
        <v>82.295640000000006</v>
      </c>
      <c r="I32" s="6">
        <f t="shared" si="11"/>
        <v>83.941552800000011</v>
      </c>
      <c r="J32" s="6">
        <f t="shared" si="11"/>
        <v>85.620383856000018</v>
      </c>
      <c r="K32" s="23"/>
      <c r="L32" s="23"/>
      <c r="M32" s="23"/>
      <c r="N32" s="23"/>
      <c r="O32" s="23"/>
      <c r="P32" s="23"/>
      <c r="Q32" s="23"/>
      <c r="R32" s="23"/>
    </row>
    <row r="33" spans="1:25" s="4" customFormat="1" ht="22" customHeight="1">
      <c r="A33" s="1"/>
      <c r="B33" s="64" t="s">
        <v>9</v>
      </c>
      <c r="C33" s="41">
        <f>(C32/43)-1</f>
        <v>0.30232558139534893</v>
      </c>
      <c r="D33" s="41">
        <f>(D32/56)-1</f>
        <v>0.20535714285714279</v>
      </c>
      <c r="E33" s="38">
        <f>(E32/D32)-1</f>
        <v>0.14814814814814814</v>
      </c>
      <c r="F33" s="38">
        <f>(F32/E32)-1</f>
        <v>2.0645161290322456E-2</v>
      </c>
      <c r="G33" s="73">
        <v>0.02</v>
      </c>
      <c r="H33" s="80">
        <f>+$G$33</f>
        <v>0.02</v>
      </c>
      <c r="I33" s="80">
        <f>+$G$33</f>
        <v>0.02</v>
      </c>
      <c r="J33" s="80">
        <f>+$G$33</f>
        <v>0.02</v>
      </c>
      <c r="K33" s="30"/>
      <c r="L33" s="30"/>
      <c r="M33" s="30"/>
      <c r="N33" s="30"/>
      <c r="O33" s="30"/>
      <c r="P33" s="30"/>
      <c r="Q33" s="30"/>
      <c r="R33" s="30"/>
      <c r="S33" s="15"/>
      <c r="T33" s="30"/>
      <c r="U33" s="30"/>
      <c r="V33" s="30"/>
    </row>
    <row r="34" spans="1:25" s="1" customFormat="1" ht="22" customHeight="1">
      <c r="B34" s="64" t="s">
        <v>37</v>
      </c>
      <c r="C34" s="86">
        <f>C37/C32</f>
        <v>60.196428571428569</v>
      </c>
      <c r="D34" s="86">
        <f>D37/D32</f>
        <v>73.081481481481475</v>
      </c>
      <c r="E34" s="86">
        <f>E37/E32</f>
        <v>71.045161290322582</v>
      </c>
      <c r="F34" s="86">
        <f>F37/F32</f>
        <v>82.983565107458915</v>
      </c>
      <c r="G34" s="16">
        <f>+F34*(1+G35)</f>
        <v>82.983565107458915</v>
      </c>
      <c r="H34" s="16">
        <f t="shared" ref="H34:J34" si="12">+G34*(1+H35)</f>
        <v>82.983565107458915</v>
      </c>
      <c r="I34" s="16">
        <f t="shared" si="12"/>
        <v>82.983565107458915</v>
      </c>
      <c r="J34" s="16">
        <f t="shared" si="12"/>
        <v>82.983565107458915</v>
      </c>
      <c r="K34" s="31"/>
      <c r="L34" s="31"/>
      <c r="M34" s="31"/>
      <c r="N34" s="25"/>
      <c r="O34" s="22"/>
      <c r="P34" s="22"/>
      <c r="Q34" s="22"/>
      <c r="R34" s="22"/>
      <c r="S34" s="22"/>
      <c r="T34" s="22"/>
      <c r="U34" s="22"/>
      <c r="V34" s="22"/>
      <c r="W34" s="58"/>
    </row>
    <row r="35" spans="1:25" s="5" customFormat="1" ht="22" customHeight="1">
      <c r="A35" s="1"/>
      <c r="B35" s="63" t="s">
        <v>10</v>
      </c>
      <c r="C35" s="41">
        <f>(C34/(4.6*12)-1)</f>
        <v>9.0515010351966962E-2</v>
      </c>
      <c r="D35" s="41">
        <f>(D34/60.2)-1</f>
        <v>0.21397809769902776</v>
      </c>
      <c r="E35" s="38">
        <f>(E34/D34)-1</f>
        <v>-2.7863696108498925E-2</v>
      </c>
      <c r="F35" s="38">
        <f>(F34/E34)-1</f>
        <v>0.16803964689939455</v>
      </c>
      <c r="G35" s="73">
        <v>0</v>
      </c>
      <c r="H35" s="41">
        <f>$G$35</f>
        <v>0</v>
      </c>
      <c r="I35" s="41">
        <f t="shared" ref="I35:J35" si="13">$G$35</f>
        <v>0</v>
      </c>
      <c r="J35" s="41">
        <f t="shared" si="13"/>
        <v>0</v>
      </c>
      <c r="K35" s="23"/>
      <c r="L35" s="23"/>
      <c r="M35" s="23"/>
      <c r="N35" s="23"/>
      <c r="O35" s="23"/>
      <c r="P35" s="23"/>
      <c r="Q35" s="23"/>
      <c r="R35" s="23"/>
    </row>
    <row r="36" spans="1:25" s="5" customFormat="1" ht="22" customHeight="1">
      <c r="A36" s="1"/>
      <c r="B36" s="57" t="s">
        <v>35</v>
      </c>
      <c r="C36" s="14">
        <v>1533</v>
      </c>
      <c r="D36" s="14">
        <v>1795</v>
      </c>
      <c r="E36" s="14">
        <v>2114</v>
      </c>
      <c r="F36" s="4">
        <f>(1446/9)*12</f>
        <v>1928</v>
      </c>
      <c r="G36" s="30">
        <f>F36*(1+G33)</f>
        <v>1966.56</v>
      </c>
      <c r="H36" s="30">
        <f>G36*(1+H33)</f>
        <v>2005.8912</v>
      </c>
      <c r="I36" s="30">
        <f>H36*(1+I33)</f>
        <v>2046.009024</v>
      </c>
      <c r="J36" s="30">
        <f>I36*(1+J33)</f>
        <v>2086.92920448</v>
      </c>
      <c r="K36" s="23"/>
      <c r="L36" s="23"/>
      <c r="M36" s="23"/>
      <c r="N36" s="23"/>
      <c r="O36" s="23"/>
      <c r="P36" s="23"/>
      <c r="Q36" s="23"/>
      <c r="R36" s="23"/>
      <c r="S36" s="4"/>
    </row>
    <row r="37" spans="1:25" s="4" customFormat="1" ht="22" customHeight="1">
      <c r="A37" s="1"/>
      <c r="B37" s="57" t="s">
        <v>34</v>
      </c>
      <c r="C37" s="14">
        <v>3371</v>
      </c>
      <c r="D37" s="14">
        <v>4933</v>
      </c>
      <c r="E37" s="14">
        <v>5506</v>
      </c>
      <c r="F37" s="14">
        <f>(4923/9)*12</f>
        <v>6564</v>
      </c>
      <c r="G37" s="14">
        <f>G32*G34</f>
        <v>6695.2800000000007</v>
      </c>
      <c r="H37" s="14">
        <f t="shared" ref="H37:J37" si="14">H32*H34</f>
        <v>6829.1856000000007</v>
      </c>
      <c r="I37" s="14">
        <f t="shared" si="14"/>
        <v>6965.7693120000013</v>
      </c>
      <c r="J37" s="14">
        <f t="shared" si="14"/>
        <v>7105.0846982400017</v>
      </c>
      <c r="K37" s="23"/>
      <c r="L37" s="23"/>
      <c r="M37" s="23"/>
      <c r="N37" s="23"/>
      <c r="O37" s="23"/>
      <c r="P37" s="23"/>
      <c r="Q37" s="23"/>
      <c r="R37" s="23"/>
      <c r="S37" s="1"/>
    </row>
    <row r="38" spans="1:25" s="4" customFormat="1" ht="22" customHeight="1">
      <c r="B38" s="78" t="s">
        <v>36</v>
      </c>
      <c r="C38" s="14">
        <v>0</v>
      </c>
      <c r="D38" s="14">
        <v>8</v>
      </c>
      <c r="E38" s="14">
        <v>12</v>
      </c>
      <c r="F38" s="87">
        <f>(2/9)*12</f>
        <v>2.6666666666666665</v>
      </c>
      <c r="G38" s="87">
        <f>F38*(1+G33)</f>
        <v>2.7199999999999998</v>
      </c>
      <c r="H38" s="87">
        <f t="shared" ref="H38:J38" si="15">G38*(1+H33)</f>
        <v>2.7744</v>
      </c>
      <c r="I38" s="87">
        <f t="shared" si="15"/>
        <v>2.829888</v>
      </c>
      <c r="J38" s="87">
        <f t="shared" si="15"/>
        <v>2.8864857599999998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Y38" s="5"/>
    </row>
    <row r="39" spans="1:25" s="5" customFormat="1" ht="22" customHeight="1">
      <c r="A39" s="2"/>
      <c r="B39" s="63" t="s">
        <v>33</v>
      </c>
      <c r="C39" s="14">
        <f>SUM(C36:C38)</f>
        <v>4904</v>
      </c>
      <c r="D39" s="14">
        <f t="shared" ref="D39:H39" si="16">SUM(D36:D38)</f>
        <v>6736</v>
      </c>
      <c r="E39" s="14">
        <f t="shared" si="16"/>
        <v>7632</v>
      </c>
      <c r="F39" s="14">
        <f t="shared" si="16"/>
        <v>8494.6666666666661</v>
      </c>
      <c r="G39" s="14">
        <f t="shared" si="16"/>
        <v>8664.56</v>
      </c>
      <c r="H39" s="14">
        <f t="shared" si="16"/>
        <v>8837.851200000001</v>
      </c>
      <c r="I39" s="14">
        <f>SUM(I36:I38)</f>
        <v>9014.6082240000014</v>
      </c>
      <c r="J39" s="14">
        <f>SUM(J36:J38)</f>
        <v>9194.9003884800022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5" s="5" customFormat="1" ht="22" customHeight="1">
      <c r="A40" s="4"/>
      <c r="B40" s="89" t="s">
        <v>42</v>
      </c>
      <c r="C40" s="71">
        <f t="shared" ref="C40:J40" si="17">C39/C62</f>
        <v>0.16517815226633462</v>
      </c>
      <c r="D40" s="71">
        <f t="shared" si="17"/>
        <v>0.22620778548227818</v>
      </c>
      <c r="E40" s="71">
        <f t="shared" si="17"/>
        <v>0.25980618075208961</v>
      </c>
      <c r="F40" s="71">
        <f t="shared" si="17"/>
        <v>0.28308337909804765</v>
      </c>
      <c r="G40" s="71">
        <f t="shared" si="17"/>
        <v>0.2889373519274413</v>
      </c>
      <c r="H40" s="71">
        <f t="shared" si="17"/>
        <v>0.31352159635321275</v>
      </c>
      <c r="I40" s="71">
        <f t="shared" si="17"/>
        <v>0.32809149817406608</v>
      </c>
      <c r="J40" s="121">
        <f t="shared" si="17"/>
        <v>0.34254706989526817</v>
      </c>
      <c r="K40" s="19"/>
      <c r="L40" s="19"/>
      <c r="M40" s="19"/>
      <c r="N40" s="19"/>
      <c r="O40" s="32"/>
      <c r="P40" s="32"/>
      <c r="Q40" s="32"/>
      <c r="R40" s="32"/>
      <c r="S40" s="4"/>
    </row>
    <row r="41" spans="1:25" s="5" customFormat="1" ht="22" customHeight="1">
      <c r="A41" s="4"/>
      <c r="B41" s="89" t="s">
        <v>52</v>
      </c>
      <c r="C41" s="5">
        <v>-1819</v>
      </c>
      <c r="D41" s="5">
        <v>-1663</v>
      </c>
      <c r="E41" s="5">
        <v>-497</v>
      </c>
      <c r="F41" s="5">
        <f>((235/9)*12)</f>
        <v>313.33333333333331</v>
      </c>
      <c r="J41" s="32"/>
      <c r="K41" s="19"/>
      <c r="L41" s="19"/>
      <c r="M41" s="19"/>
      <c r="N41" s="19"/>
      <c r="O41" s="32"/>
      <c r="P41" s="32"/>
      <c r="Q41" s="32"/>
      <c r="R41" s="32"/>
      <c r="S41" s="4"/>
    </row>
    <row r="42" spans="1:25" s="4" customFormat="1" ht="22" customHeight="1">
      <c r="A42" s="5"/>
      <c r="B42" s="64" t="s">
        <v>11</v>
      </c>
      <c r="C42" s="41">
        <f>C43/C39</f>
        <v>-0.384563040715307</v>
      </c>
      <c r="D42" s="41">
        <f>D43/D39</f>
        <v>-0.26091966364780167</v>
      </c>
      <c r="E42" s="41">
        <f>E43/E39</f>
        <v>-7.846488769062096E-2</v>
      </c>
      <c r="F42" s="38">
        <f>F43/F39</f>
        <v>2.6844005073589895E-2</v>
      </c>
      <c r="G42" s="165">
        <f>2.5%</f>
        <v>2.5000000000000001E-2</v>
      </c>
      <c r="H42" s="38">
        <f>G42</f>
        <v>2.5000000000000001E-2</v>
      </c>
      <c r="I42" s="38">
        <f>G42</f>
        <v>2.5000000000000001E-2</v>
      </c>
      <c r="J42" s="38">
        <f>H42</f>
        <v>2.5000000000000001E-2</v>
      </c>
      <c r="K42" s="19"/>
      <c r="L42" s="19"/>
      <c r="M42" s="19"/>
      <c r="N42" s="19"/>
      <c r="O42" s="32"/>
      <c r="P42" s="32"/>
      <c r="Q42" s="32"/>
      <c r="R42" s="32"/>
      <c r="S42" s="1"/>
    </row>
    <row r="43" spans="1:25" s="1" customFormat="1" ht="22" customHeight="1">
      <c r="A43" s="5"/>
      <c r="B43" s="64" t="s">
        <v>5</v>
      </c>
      <c r="C43" s="28">
        <f>(-1819-(405*C40))</f>
        <v>-1885.8971516678655</v>
      </c>
      <c r="D43" s="28">
        <f>(-1663-(418*D40))</f>
        <v>-1757.5548543315922</v>
      </c>
      <c r="E43" s="28">
        <f>(-497-(392*E40))</f>
        <v>-598.84402285481917</v>
      </c>
      <c r="F43" s="28">
        <f>((235/9)*12)-(((226/9)*12)*F40)</f>
        <v>228.03087509845494</v>
      </c>
      <c r="G43" s="18">
        <f>G39*G42</f>
        <v>216.614</v>
      </c>
      <c r="H43" s="18">
        <f>H39*H42</f>
        <v>220.94628000000003</v>
      </c>
      <c r="I43" s="18">
        <f>I39*I42</f>
        <v>225.36520560000005</v>
      </c>
      <c r="J43" s="18">
        <f>J39*J42</f>
        <v>229.87250971200007</v>
      </c>
      <c r="K43" s="19"/>
      <c r="L43" s="19"/>
      <c r="M43" s="19"/>
      <c r="N43" s="19"/>
      <c r="O43" s="32"/>
      <c r="P43" s="32"/>
      <c r="Q43" s="32"/>
      <c r="R43" s="32"/>
      <c r="S43" s="5"/>
    </row>
    <row r="44" spans="1:25" s="5" customFormat="1" ht="22" customHeight="1">
      <c r="J44" s="20"/>
      <c r="K44" s="20"/>
      <c r="L44" s="20"/>
      <c r="M44" s="20"/>
      <c r="N44" s="20"/>
      <c r="O44" s="20"/>
      <c r="P44" s="20"/>
      <c r="Q44" s="20"/>
      <c r="R44" s="20"/>
      <c r="S44" s="8"/>
      <c r="T44" s="20"/>
      <c r="U44" s="20"/>
      <c r="V44" s="20"/>
      <c r="W44" s="20"/>
    </row>
    <row r="45" spans="1:25" s="6" customFormat="1" ht="22" customHeight="1">
      <c r="A45" s="62" t="s">
        <v>25</v>
      </c>
      <c r="B45" s="5"/>
      <c r="C45" s="5"/>
      <c r="D45" s="5"/>
      <c r="E45" s="5"/>
      <c r="F45" s="5"/>
      <c r="G45" s="19"/>
      <c r="H45" s="19"/>
      <c r="I45" s="19"/>
      <c r="K45" s="33"/>
      <c r="L45" s="33"/>
      <c r="M45" s="33"/>
      <c r="N45" s="33"/>
      <c r="O45" s="33"/>
      <c r="P45" s="33"/>
      <c r="Q45" s="33"/>
      <c r="R45" s="33"/>
      <c r="S45" s="4"/>
      <c r="T45" s="32"/>
      <c r="U45" s="32"/>
    </row>
    <row r="46" spans="1:25" s="6" customFormat="1" ht="22" customHeight="1">
      <c r="B46" s="57" t="s">
        <v>39</v>
      </c>
      <c r="C46" s="32">
        <v>6</v>
      </c>
      <c r="D46" s="1">
        <v>6</v>
      </c>
      <c r="E46" s="1">
        <v>8</v>
      </c>
      <c r="F46" s="19">
        <v>2</v>
      </c>
      <c r="G46" s="95">
        <v>11</v>
      </c>
      <c r="H46" s="19">
        <v>4</v>
      </c>
      <c r="I46" s="19">
        <v>3</v>
      </c>
      <c r="J46" s="19">
        <v>3</v>
      </c>
      <c r="K46" s="18"/>
      <c r="L46" s="129" t="s">
        <v>106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5" s="6" customFormat="1" ht="22" customHeight="1">
      <c r="B47" s="89" t="s">
        <v>87</v>
      </c>
      <c r="C47" s="71">
        <v>0</v>
      </c>
      <c r="D47" s="71">
        <v>0</v>
      </c>
      <c r="E47" s="71">
        <v>0</v>
      </c>
      <c r="F47" s="71">
        <v>0</v>
      </c>
      <c r="G47" s="71">
        <v>0.05</v>
      </c>
      <c r="H47" s="71">
        <v>0.1</v>
      </c>
      <c r="I47" s="71">
        <v>0.05</v>
      </c>
      <c r="J47" s="71">
        <v>0.05</v>
      </c>
      <c r="K47" s="20"/>
      <c r="L47" s="128">
        <f>(SUM(C49:F49))/(SUM(C46:F46))</f>
        <v>139.32623026214932</v>
      </c>
      <c r="M47" s="20"/>
      <c r="N47" s="20"/>
      <c r="O47" s="20"/>
      <c r="P47" s="20"/>
      <c r="Q47" s="20"/>
      <c r="R47" s="20"/>
      <c r="S47" s="8"/>
      <c r="T47" s="20"/>
      <c r="U47" s="20"/>
      <c r="V47" s="20"/>
      <c r="W47" s="20"/>
    </row>
    <row r="48" spans="1:25" s="6" customFormat="1" ht="22" customHeight="1">
      <c r="B48" s="89" t="s">
        <v>40</v>
      </c>
      <c r="C48" s="71">
        <f>(C49/241)-1</f>
        <v>1.6721991701244812</v>
      </c>
      <c r="D48" s="71">
        <f>(D49/C49-1)</f>
        <v>0.26242236024844723</v>
      </c>
      <c r="E48" s="71">
        <f>(E49/D49-1)</f>
        <v>0</v>
      </c>
      <c r="F48" s="71">
        <f>(F49/E49-1)</f>
        <v>-2.1922428330522825E-2</v>
      </c>
      <c r="G48" s="71">
        <f t="shared" ref="G48:J48" si="18">(G49/F49-1)</f>
        <v>1.0237228018831912</v>
      </c>
      <c r="H48" s="71">
        <f t="shared" si="18"/>
        <v>-0.61904761904761907</v>
      </c>
      <c r="I48" s="71">
        <f t="shared" si="18"/>
        <v>-0.28409090909090917</v>
      </c>
      <c r="J48" s="71">
        <f t="shared" si="18"/>
        <v>0</v>
      </c>
      <c r="K48" s="24"/>
      <c r="M48" s="24"/>
      <c r="N48" s="24"/>
      <c r="S48" s="5"/>
    </row>
    <row r="49" spans="1:24" s="6" customFormat="1" ht="22" customHeight="1">
      <c r="B49" s="69" t="s">
        <v>38</v>
      </c>
      <c r="C49" s="14">
        <v>644</v>
      </c>
      <c r="D49" s="20">
        <v>813</v>
      </c>
      <c r="E49" s="20">
        <v>813</v>
      </c>
      <c r="F49" s="18">
        <f>F53*(E49/E53)</f>
        <v>795.17706576728494</v>
      </c>
      <c r="G49" s="20">
        <f>(G46*$L$47)*(1+G47)</f>
        <v>1609.2179595278246</v>
      </c>
      <c r="H49" s="20">
        <f>(H46*$L$47)*(1+H47)</f>
        <v>613.03541315345706</v>
      </c>
      <c r="I49" s="20">
        <f t="shared" ref="I49:J49" si="19">(I46*$L$47)*(1+I47)</f>
        <v>438.87762532577034</v>
      </c>
      <c r="J49" s="20">
        <f t="shared" si="19"/>
        <v>438.87762532577034</v>
      </c>
      <c r="K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4" s="6" customFormat="1" ht="22" customHeight="1">
      <c r="A50" s="2"/>
      <c r="B50" s="57" t="s">
        <v>35</v>
      </c>
      <c r="C50" s="18">
        <v>21</v>
      </c>
      <c r="D50" s="18">
        <v>24</v>
      </c>
      <c r="E50" s="18">
        <v>26</v>
      </c>
      <c r="F50" s="18">
        <f>F53*(E50/E53)</f>
        <v>25.430016863406408</v>
      </c>
      <c r="G50" s="115">
        <v>25</v>
      </c>
      <c r="H50" s="18">
        <f>G50</f>
        <v>25</v>
      </c>
      <c r="I50" s="18">
        <f>G50</f>
        <v>25</v>
      </c>
      <c r="J50" s="18">
        <f>G50</f>
        <v>25</v>
      </c>
      <c r="K50" s="24"/>
      <c r="L50" s="24"/>
      <c r="M50" s="24"/>
      <c r="N50" s="24"/>
      <c r="S50" s="1"/>
    </row>
    <row r="51" spans="1:24" s="6" customFormat="1" ht="22" customHeight="1">
      <c r="A51" s="2"/>
      <c r="B51" s="78" t="s">
        <v>36</v>
      </c>
      <c r="C51" s="14">
        <v>2388</v>
      </c>
      <c r="D51" s="14">
        <v>2120</v>
      </c>
      <c r="E51" s="14">
        <v>2126</v>
      </c>
      <c r="F51" s="18">
        <f>F53*(E51/E53)</f>
        <v>2079.3929173693086</v>
      </c>
      <c r="G51" s="18">
        <f>+F51*(1+G52)</f>
        <v>2037.8050590219225</v>
      </c>
      <c r="H51" s="18">
        <f>+G51*(1+H52)</f>
        <v>1997.048957841484</v>
      </c>
      <c r="I51" s="18">
        <f>+H51*(1+I52)</f>
        <v>1957.1079786846542</v>
      </c>
      <c r="J51" s="18">
        <f>+I51*(1+J52)</f>
        <v>1917.9658191109611</v>
      </c>
      <c r="K51" s="30"/>
      <c r="L51" s="30"/>
      <c r="M51" s="30"/>
      <c r="N51" s="30"/>
      <c r="O51" s="30"/>
      <c r="P51" s="30"/>
      <c r="Q51" s="30"/>
      <c r="R51" s="30"/>
      <c r="S51" s="15"/>
      <c r="T51" s="30"/>
      <c r="U51" s="30"/>
      <c r="V51" s="30"/>
      <c r="W51" s="30"/>
    </row>
    <row r="52" spans="1:24" s="6" customFormat="1" ht="22" customHeight="1">
      <c r="A52" s="1"/>
      <c r="B52" s="89" t="s">
        <v>130</v>
      </c>
      <c r="C52" s="71">
        <f>(C51/2428)-1</f>
        <v>-1.6474464579901205E-2</v>
      </c>
      <c r="D52" s="71">
        <f>(D51/C51)-1</f>
        <v>-0.11222780569514235</v>
      </c>
      <c r="E52" s="71">
        <f t="shared" ref="E52:F52" si="20">(E51/D51)-1</f>
        <v>2.8301886792452269E-3</v>
      </c>
      <c r="F52" s="71">
        <f t="shared" si="20"/>
        <v>-2.1922428330522714E-2</v>
      </c>
      <c r="G52" s="73">
        <f>-2%</f>
        <v>-0.02</v>
      </c>
      <c r="H52" s="71">
        <f>G52</f>
        <v>-0.02</v>
      </c>
      <c r="I52" s="71">
        <f>G52</f>
        <v>-0.02</v>
      </c>
      <c r="J52" s="71">
        <f>G52</f>
        <v>-0.02</v>
      </c>
      <c r="K52" s="24"/>
      <c r="L52" s="24"/>
      <c r="M52" s="24"/>
      <c r="N52" s="24"/>
    </row>
    <row r="53" spans="1:24" s="6" customFormat="1" ht="22" customHeight="1">
      <c r="A53" s="62"/>
      <c r="B53" s="69" t="s">
        <v>33</v>
      </c>
      <c r="C53" s="18">
        <f>C50+C49+C51</f>
        <v>3053</v>
      </c>
      <c r="D53" s="18">
        <f>D50+D49+D51</f>
        <v>2957</v>
      </c>
      <c r="E53" s="18">
        <f>E50+E49+E51</f>
        <v>2965</v>
      </c>
      <c r="F53" s="18">
        <v>2900</v>
      </c>
      <c r="G53" s="18">
        <f>G50+G49+G51</f>
        <v>3672.0230185497471</v>
      </c>
      <c r="H53" s="18">
        <f>H50+H49+H51</f>
        <v>2635.0843709949413</v>
      </c>
      <c r="I53" s="18">
        <f>I50+I49+I51</f>
        <v>2420.9856040104246</v>
      </c>
      <c r="J53" s="18">
        <f>J50+J49+J51</f>
        <v>2381.8434444367313</v>
      </c>
      <c r="K53" s="20"/>
      <c r="L53" s="20"/>
      <c r="M53" s="20"/>
      <c r="N53" s="20"/>
    </row>
    <row r="54" spans="1:24" s="6" customFormat="1" ht="22" customHeight="1">
      <c r="B54" s="89" t="s">
        <v>42</v>
      </c>
      <c r="C54" s="71">
        <f t="shared" ref="C54:J54" si="21">C53/C62</f>
        <v>0.10283215719190857</v>
      </c>
      <c r="D54" s="71">
        <f t="shared" si="21"/>
        <v>9.9301725307466837E-2</v>
      </c>
      <c r="E54" s="71">
        <f t="shared" si="21"/>
        <v>0.10093361188809562</v>
      </c>
      <c r="F54" s="71">
        <f t="shared" si="21"/>
        <v>9.6642026297010464E-2</v>
      </c>
      <c r="G54" s="71">
        <f t="shared" si="21"/>
        <v>0.12245106585866722</v>
      </c>
      <c r="H54" s="71">
        <f t="shared" si="21"/>
        <v>9.3479267734190338E-2</v>
      </c>
      <c r="I54" s="71">
        <f t="shared" si="21"/>
        <v>8.8113068714723811E-2</v>
      </c>
      <c r="J54" s="71">
        <f t="shared" si="21"/>
        <v>8.8733260652096052E-2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4" s="6" customFormat="1" ht="22" customHeight="1">
      <c r="B55" s="89" t="s">
        <v>52</v>
      </c>
      <c r="C55" s="6">
        <v>272</v>
      </c>
      <c r="D55" s="6">
        <v>-119</v>
      </c>
      <c r="E55" s="6">
        <v>-96</v>
      </c>
      <c r="F55" s="6">
        <f>((-13/9)*12)</f>
        <v>-17.333333333333332</v>
      </c>
      <c r="J55" s="16"/>
      <c r="K55" s="36"/>
      <c r="L55" s="36"/>
      <c r="M55" s="36"/>
      <c r="N55" s="35"/>
      <c r="Q55" s="5"/>
      <c r="R55" s="5"/>
    </row>
    <row r="56" spans="1:24" s="6" customFormat="1" ht="22" customHeight="1">
      <c r="B56" s="69" t="s">
        <v>11</v>
      </c>
      <c r="C56" s="71">
        <f>C57/C53</f>
        <v>7.5451351568056671E-2</v>
      </c>
      <c r="D56" s="71">
        <f>D57/D53</f>
        <v>-5.4280730868623991E-2</v>
      </c>
      <c r="E56" s="71">
        <f>E57/E53</f>
        <v>-5.3479249868510451E-2</v>
      </c>
      <c r="F56" s="71">
        <f>F57/F53</f>
        <v>-1.4524642732470972E-2</v>
      </c>
      <c r="G56" s="73">
        <v>0.02</v>
      </c>
      <c r="H56" s="41">
        <f>G56</f>
        <v>0.02</v>
      </c>
      <c r="I56" s="41">
        <f>G56</f>
        <v>0.02</v>
      </c>
      <c r="J56" s="41">
        <f>H56</f>
        <v>0.02</v>
      </c>
    </row>
    <row r="57" spans="1:24" s="6" customFormat="1" ht="22" customHeight="1">
      <c r="B57" s="69" t="s">
        <v>5</v>
      </c>
      <c r="C57" s="20">
        <f>272-(405*C54)</f>
        <v>230.35297633727703</v>
      </c>
      <c r="D57" s="26">
        <f>(-119)-(418*D54)</f>
        <v>-160.50812117852115</v>
      </c>
      <c r="E57" s="26">
        <f>(-119)-(392*E54)</f>
        <v>-158.56597586013348</v>
      </c>
      <c r="F57" s="88">
        <f>(-13)-(((226/9)*12)*F54)</f>
        <v>-42.121463924165816</v>
      </c>
      <c r="G57" s="88">
        <f>G53*G56</f>
        <v>73.440460370994941</v>
      </c>
      <c r="H57" s="88">
        <f>H53*H56</f>
        <v>52.701687419898825</v>
      </c>
      <c r="I57" s="88">
        <f>I53*I56</f>
        <v>48.419712080208491</v>
      </c>
      <c r="J57" s="88">
        <f>J53*J56</f>
        <v>47.636868888734625</v>
      </c>
    </row>
    <row r="58" spans="1:24" s="6" customFormat="1" ht="22" customHeight="1">
      <c r="A58" s="90"/>
      <c r="L58" s="5"/>
      <c r="M58" s="5"/>
      <c r="N58" s="5"/>
    </row>
    <row r="59" spans="1:24" s="6" customFormat="1" ht="22" customHeight="1">
      <c r="B59" s="89" t="s">
        <v>60</v>
      </c>
      <c r="C59" s="15">
        <v>-1157</v>
      </c>
      <c r="D59" s="15">
        <v>-3042</v>
      </c>
      <c r="E59" s="15">
        <v>-8609</v>
      </c>
      <c r="F59" s="15">
        <v>-2211.1999999999998</v>
      </c>
      <c r="G59" s="99">
        <v>-2800</v>
      </c>
      <c r="H59" s="15">
        <f>G59</f>
        <v>-2800</v>
      </c>
      <c r="I59" s="15">
        <f>G59</f>
        <v>-2800</v>
      </c>
      <c r="J59" s="15">
        <f>H59</f>
        <v>-2800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8"/>
      <c r="X59" s="2"/>
    </row>
    <row r="60" spans="1:24" s="6" customFormat="1" ht="22" customHeight="1">
      <c r="J60" s="3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8"/>
      <c r="X60" s="2"/>
    </row>
    <row r="61" spans="1:24" s="6" customFormat="1" ht="22" customHeight="1"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8"/>
      <c r="X61" s="2"/>
    </row>
    <row r="62" spans="1:24" s="6" customFormat="1" ht="22" customHeight="1">
      <c r="B62" s="96" t="s">
        <v>41</v>
      </c>
      <c r="C62" s="14">
        <f t="shared" ref="C62:J62" si="22">C25+C39+C53</f>
        <v>29689.156421200001</v>
      </c>
      <c r="D62" s="14">
        <f t="shared" si="22"/>
        <v>29777.93176145</v>
      </c>
      <c r="E62" s="14">
        <f t="shared" si="22"/>
        <v>29375.744556602953</v>
      </c>
      <c r="F62" s="14">
        <f t="shared" si="22"/>
        <v>30007.648960995648</v>
      </c>
      <c r="G62" s="14">
        <f t="shared" si="22"/>
        <v>29987.677059405829</v>
      </c>
      <c r="H62" s="14">
        <f t="shared" si="22"/>
        <v>28188.971039951255</v>
      </c>
      <c r="I62" s="14">
        <f t="shared" si="22"/>
        <v>27475.89704143257</v>
      </c>
      <c r="J62" s="14">
        <f t="shared" si="22"/>
        <v>26842.735485348891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8"/>
      <c r="X62" s="2"/>
    </row>
    <row r="63" spans="1:24" s="6" customFormat="1" ht="22" customHeight="1">
      <c r="A63" s="4"/>
      <c r="B63" s="96" t="s">
        <v>58</v>
      </c>
      <c r="C63" s="8">
        <f>C57+C43+C29+C59</f>
        <v>2342</v>
      </c>
      <c r="D63" s="8">
        <f t="shared" ref="D63:J63" si="23">D57+D43+D29+D59</f>
        <v>-451</v>
      </c>
      <c r="E63" s="8">
        <f>E57+E43+E29+E59</f>
        <v>-5269</v>
      </c>
      <c r="F63" s="8">
        <f t="shared" si="23"/>
        <v>1697.3058700400866</v>
      </c>
      <c r="G63" s="8">
        <f t="shared" si="23"/>
        <v>1020.2732685422116</v>
      </c>
      <c r="H63" s="8">
        <f t="shared" si="23"/>
        <v>816.85506121116214</v>
      </c>
      <c r="I63" s="8">
        <f t="shared" si="23"/>
        <v>681.845560364638</v>
      </c>
      <c r="J63" s="8">
        <f t="shared" si="23"/>
        <v>530.70770908716622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8"/>
      <c r="X63" s="2"/>
    </row>
    <row r="64" spans="1:24" s="6" customFormat="1" ht="22" customHeight="1">
      <c r="A64" s="5"/>
      <c r="B64" s="96" t="s">
        <v>100</v>
      </c>
      <c r="C64" s="14">
        <f>C63</f>
        <v>2342</v>
      </c>
      <c r="D64" s="14">
        <f>D63+(83)</f>
        <v>-368</v>
      </c>
      <c r="E64" s="14">
        <f>E63+(5980+149+909)</f>
        <v>1769</v>
      </c>
      <c r="F64" s="14">
        <f t="shared" ref="F64:J64" si="24">F63</f>
        <v>1697.3058700400866</v>
      </c>
      <c r="G64" s="14">
        <f t="shared" si="24"/>
        <v>1020.2732685422116</v>
      </c>
      <c r="H64" s="14">
        <f t="shared" si="24"/>
        <v>816.85506121116214</v>
      </c>
      <c r="I64" s="14">
        <f t="shared" si="24"/>
        <v>681.845560364638</v>
      </c>
      <c r="J64" s="14">
        <f t="shared" si="24"/>
        <v>530.70770908716622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8"/>
      <c r="X64" s="2"/>
    </row>
    <row r="65" spans="1:24" s="6" customFormat="1" ht="22" customHeight="1" thickBot="1">
      <c r="A65" s="5"/>
      <c r="B65" s="92" t="s">
        <v>59</v>
      </c>
      <c r="C65" s="71">
        <f>C64/C62</f>
        <v>7.8884019699787047E-2</v>
      </c>
      <c r="D65" s="71">
        <f t="shared" ref="D65:J65" si="25">D63/D62</f>
        <v>-1.5145444069552771E-2</v>
      </c>
      <c r="E65" s="71">
        <f>E63/E62</f>
        <v>-0.17936566645476418</v>
      </c>
      <c r="F65" s="71">
        <f t="shared" si="25"/>
        <v>5.6562440871201471E-2</v>
      </c>
      <c r="G65" s="71">
        <f t="shared" si="25"/>
        <v>3.4023084433017006E-2</v>
      </c>
      <c r="H65" s="71">
        <f t="shared" si="25"/>
        <v>2.8977824697945225E-2</v>
      </c>
      <c r="I65" s="71">
        <f t="shared" si="25"/>
        <v>2.4816134641079846E-2</v>
      </c>
      <c r="J65" s="71">
        <f t="shared" si="25"/>
        <v>1.9770999471228755E-2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8"/>
      <c r="X65" s="2"/>
    </row>
    <row r="66" spans="1:24" s="6" customFormat="1" ht="22" customHeight="1" thickBot="1">
      <c r="A66" s="5"/>
      <c r="B66" s="166" t="s">
        <v>89</v>
      </c>
      <c r="C66" s="167">
        <f>C64/C62</f>
        <v>7.8884019699787047E-2</v>
      </c>
      <c r="D66" s="167">
        <f t="shared" ref="D66:J66" si="26">D64/D62</f>
        <v>-1.2358145050100709E-2</v>
      </c>
      <c r="E66" s="167">
        <f>E64/E62</f>
        <v>6.0219750229356203E-2</v>
      </c>
      <c r="F66" s="167">
        <f t="shared" si="26"/>
        <v>5.6562440871201471E-2</v>
      </c>
      <c r="G66" s="167">
        <f t="shared" si="26"/>
        <v>3.4023084433017006E-2</v>
      </c>
      <c r="H66" s="167">
        <f t="shared" si="26"/>
        <v>2.8977824697945225E-2</v>
      </c>
      <c r="I66" s="167">
        <f t="shared" si="26"/>
        <v>2.4816134641079846E-2</v>
      </c>
      <c r="J66" s="168">
        <f t="shared" si="26"/>
        <v>1.9770999471228755E-2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s="6" customFormat="1" ht="22" customHeight="1">
      <c r="A67" s="5"/>
      <c r="F67" s="97"/>
      <c r="G67" s="37"/>
      <c r="H67" s="37"/>
      <c r="I67" s="37"/>
      <c r="J67" s="38"/>
      <c r="K67" s="38"/>
      <c r="L67" s="38"/>
      <c r="M67" s="38"/>
      <c r="N67" s="38"/>
      <c r="O67" s="38"/>
      <c r="P67" s="38"/>
      <c r="Q67" s="38"/>
      <c r="R67" s="38"/>
      <c r="S67" s="3"/>
      <c r="T67" s="38"/>
      <c r="U67" s="38"/>
      <c r="V67" s="38"/>
      <c r="W67" s="38"/>
      <c r="X67" s="2"/>
    </row>
    <row r="68" spans="1:24" s="6" customFormat="1" ht="22" customHeight="1">
      <c r="A68" s="5"/>
      <c r="C68" s="38"/>
      <c r="D68" s="38"/>
      <c r="E68" s="38"/>
      <c r="J68" s="38"/>
      <c r="K68" s="38"/>
      <c r="L68" s="38"/>
      <c r="M68" s="38"/>
      <c r="N68" s="38"/>
      <c r="O68" s="38"/>
      <c r="P68" s="38"/>
      <c r="Q68" s="38"/>
      <c r="R68" s="38"/>
      <c r="S68" s="3"/>
      <c r="T68" s="38"/>
      <c r="U68" s="38"/>
      <c r="V68" s="38"/>
      <c r="W68" s="38"/>
      <c r="X68" s="2"/>
    </row>
    <row r="69" spans="1:24" s="6" customFormat="1" ht="22" customHeight="1">
      <c r="A69" s="5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"/>
      <c r="T69" s="38"/>
      <c r="U69" s="38"/>
      <c r="V69" s="38"/>
      <c r="W69" s="38"/>
      <c r="X69" s="2"/>
    </row>
    <row r="70" spans="1:24" s="4" customFormat="1" ht="22" customHeight="1">
      <c r="B70" s="6"/>
      <c r="C70" s="98"/>
      <c r="D70" s="98"/>
      <c r="E70" s="88"/>
      <c r="F70" s="38"/>
      <c r="G70" s="38"/>
      <c r="H70" s="38"/>
      <c r="I70" s="38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s="5" customFormat="1" ht="22" customHeight="1">
      <c r="B71" s="6"/>
      <c r="C71" s="6"/>
      <c r="D71" s="6"/>
      <c r="E71" s="26"/>
      <c r="F71" s="38"/>
      <c r="G71" s="38"/>
      <c r="H71" s="38"/>
      <c r="I71" s="38"/>
      <c r="J71" s="6"/>
      <c r="K71" s="38"/>
      <c r="L71" s="38"/>
      <c r="M71" s="38"/>
      <c r="N71" s="2"/>
      <c r="O71" s="38"/>
      <c r="P71" s="38"/>
      <c r="Q71" s="38"/>
      <c r="R71" s="38"/>
      <c r="S71" s="2"/>
      <c r="T71" s="2"/>
      <c r="U71" s="2"/>
      <c r="V71" s="2"/>
      <c r="W71" s="2"/>
      <c r="X71" s="2"/>
    </row>
    <row r="72" spans="1:24" s="5" customFormat="1" ht="22" customHeight="1">
      <c r="A72" s="4"/>
      <c r="C72" s="38"/>
      <c r="D72" s="38"/>
      <c r="E72" s="38"/>
      <c r="F72" s="6"/>
      <c r="G72" s="6"/>
      <c r="H72" s="6"/>
      <c r="I72" s="6"/>
      <c r="J72" s="6"/>
      <c r="K72" s="38"/>
      <c r="L72" s="38"/>
      <c r="M72" s="38"/>
      <c r="N72" s="38"/>
      <c r="O72" s="38"/>
      <c r="P72" s="38"/>
      <c r="Q72" s="38"/>
      <c r="R72" s="38"/>
      <c r="S72" s="3"/>
      <c r="T72" s="38"/>
      <c r="U72" s="38"/>
      <c r="V72" s="38"/>
      <c r="W72" s="38"/>
      <c r="X72" s="2"/>
    </row>
    <row r="73" spans="1:24" s="5" customFormat="1" ht="22" customHeight="1">
      <c r="A73" s="4"/>
      <c r="C73" s="39"/>
      <c r="D73" s="38"/>
      <c r="E73" s="38"/>
      <c r="F73" s="38"/>
      <c r="G73" s="38"/>
      <c r="H73" s="38"/>
      <c r="I73" s="38"/>
      <c r="J73" s="6"/>
      <c r="K73" s="38"/>
      <c r="L73" s="38"/>
      <c r="M73" s="38"/>
      <c r="N73" s="38"/>
      <c r="O73" s="38"/>
      <c r="P73" s="38"/>
      <c r="Q73" s="38"/>
      <c r="R73" s="38"/>
      <c r="S73" s="3"/>
      <c r="T73" s="38"/>
      <c r="U73" s="38"/>
      <c r="V73" s="38"/>
      <c r="W73" s="38"/>
      <c r="X73" s="2"/>
    </row>
    <row r="74" spans="1:24" s="5" customFormat="1" ht="22" customHeight="1">
      <c r="A74" s="12"/>
      <c r="C74" s="39"/>
      <c r="D74" s="38"/>
      <c r="E74" s="38"/>
      <c r="F74" s="38"/>
      <c r="G74" s="38"/>
      <c r="H74" s="38"/>
      <c r="I74" s="38"/>
      <c r="K74" s="38"/>
      <c r="L74" s="38"/>
      <c r="M74" s="38"/>
      <c r="N74" s="38"/>
      <c r="O74" s="38"/>
      <c r="P74" s="38"/>
      <c r="Q74" s="38"/>
      <c r="R74" s="38"/>
      <c r="S74" s="3"/>
      <c r="T74" s="38"/>
      <c r="U74" s="38"/>
      <c r="V74" s="38"/>
      <c r="W74" s="38"/>
      <c r="X74" s="2"/>
    </row>
    <row r="75" spans="1:24" s="5" customFormat="1" ht="22" customHeight="1">
      <c r="B75" s="1"/>
      <c r="C75" s="39"/>
      <c r="D75" s="38"/>
      <c r="E75" s="38"/>
      <c r="F75" s="38"/>
      <c r="G75" s="38"/>
      <c r="H75" s="38"/>
      <c r="I75" s="38"/>
      <c r="J75" s="6"/>
      <c r="K75" s="38"/>
      <c r="L75" s="38"/>
      <c r="M75" s="38"/>
      <c r="N75" s="38"/>
      <c r="O75" s="38"/>
      <c r="P75" s="38"/>
      <c r="Q75" s="38"/>
      <c r="R75" s="38"/>
      <c r="S75" s="3"/>
      <c r="T75" s="38"/>
      <c r="U75" s="38"/>
      <c r="V75" s="38"/>
      <c r="W75" s="38"/>
      <c r="X75" s="2"/>
    </row>
    <row r="76" spans="1:24" s="5" customFormat="1" ht="22" customHeight="1">
      <c r="C76" s="39"/>
      <c r="D76" s="38"/>
      <c r="E76" s="38"/>
      <c r="F76" s="38"/>
      <c r="G76" s="38"/>
      <c r="H76" s="38"/>
      <c r="I76" s="38"/>
      <c r="J76" s="6"/>
      <c r="K76" s="38"/>
      <c r="L76" s="38"/>
      <c r="M76" s="38"/>
      <c r="N76" s="38"/>
      <c r="O76" s="38"/>
      <c r="P76" s="38"/>
      <c r="Q76" s="38"/>
      <c r="R76" s="38"/>
      <c r="S76" s="3"/>
      <c r="T76" s="38"/>
      <c r="U76" s="38"/>
      <c r="V76" s="38"/>
      <c r="W76" s="38"/>
      <c r="X76" s="2"/>
    </row>
    <row r="77" spans="1:24" s="4" customFormat="1" ht="22" customHeight="1">
      <c r="A77" s="5"/>
      <c r="B77" s="5"/>
      <c r="C77" s="39"/>
      <c r="D77" s="38"/>
      <c r="E77" s="38"/>
      <c r="F77" s="38"/>
      <c r="G77" s="38"/>
      <c r="H77" s="38"/>
      <c r="I77" s="38"/>
      <c r="K77" s="38"/>
      <c r="L77" s="38"/>
      <c r="M77" s="38"/>
      <c r="N77" s="38"/>
      <c r="O77" s="38"/>
      <c r="P77" s="38"/>
      <c r="Q77" s="38"/>
      <c r="R77" s="38"/>
      <c r="S77" s="3"/>
      <c r="T77" s="38"/>
      <c r="U77" s="38"/>
      <c r="V77" s="38"/>
      <c r="W77" s="38"/>
      <c r="X77" s="2"/>
    </row>
    <row r="78" spans="1:24" s="5" customFormat="1" ht="22" customHeight="1">
      <c r="C78" s="39"/>
      <c r="D78" s="39"/>
      <c r="E78" s="39"/>
      <c r="F78" s="38"/>
      <c r="G78" s="38"/>
      <c r="H78" s="38"/>
      <c r="I78" s="38"/>
      <c r="K78" s="38"/>
      <c r="L78" s="38"/>
      <c r="M78" s="38"/>
      <c r="N78" s="38"/>
      <c r="O78" s="38"/>
      <c r="P78" s="38"/>
      <c r="Q78" s="38"/>
      <c r="R78" s="38"/>
      <c r="S78" s="3"/>
      <c r="T78" s="38"/>
      <c r="U78" s="38"/>
      <c r="V78" s="38"/>
      <c r="W78" s="38"/>
      <c r="X78" s="2"/>
    </row>
    <row r="79" spans="1:24" s="4" customFormat="1" ht="22" customHeight="1">
      <c r="A79" s="5"/>
      <c r="B79" s="5"/>
      <c r="C79" s="38"/>
      <c r="D79" s="38"/>
      <c r="E79" s="38"/>
      <c r="F79" s="39"/>
      <c r="G79" s="39"/>
      <c r="H79" s="39"/>
      <c r="I79" s="39"/>
      <c r="J79" s="3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s="4" customFormat="1" ht="22" customHeight="1">
      <c r="A80" s="5"/>
      <c r="B80" s="5"/>
      <c r="C80" s="37"/>
      <c r="D80" s="37"/>
      <c r="E80" s="37"/>
      <c r="F80" s="38"/>
      <c r="G80" s="38"/>
      <c r="H80" s="38"/>
      <c r="I80" s="38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2" s="12" customFormat="1" ht="22" customHeight="1">
      <c r="A81" s="5"/>
      <c r="B81" s="5"/>
      <c r="C81" s="39"/>
      <c r="D81" s="6"/>
      <c r="E81" s="6"/>
      <c r="F81" s="37"/>
      <c r="G81" s="37"/>
      <c r="H81" s="37"/>
      <c r="I81" s="37"/>
      <c r="J81" s="4"/>
      <c r="K81" s="4"/>
      <c r="L81" s="4"/>
      <c r="M81" s="4"/>
      <c r="N81" s="4"/>
      <c r="O81" s="6"/>
      <c r="P81" s="6"/>
      <c r="Q81" s="6"/>
      <c r="R81" s="6"/>
      <c r="S81" s="5"/>
      <c r="U81" s="38"/>
      <c r="V81" s="5"/>
    </row>
    <row r="82" spans="1:22" s="5" customFormat="1" ht="22" customHeight="1">
      <c r="C82" s="14"/>
      <c r="D82" s="14"/>
      <c r="E82" s="14"/>
      <c r="F82" s="40"/>
      <c r="G82" s="6"/>
      <c r="H82" s="6"/>
      <c r="I82" s="6"/>
      <c r="J82" s="1"/>
      <c r="O82" s="6"/>
      <c r="P82" s="6"/>
      <c r="Q82" s="6"/>
      <c r="R82" s="6"/>
      <c r="U82" s="38"/>
    </row>
    <row r="83" spans="1:22" s="5" customFormat="1" ht="22" customHeight="1">
      <c r="A83" s="4"/>
      <c r="B83" s="4"/>
      <c r="C83" s="23"/>
      <c r="D83" s="23"/>
      <c r="E83" s="23"/>
      <c r="F83" s="14"/>
      <c r="G83" s="14"/>
      <c r="H83" s="14"/>
      <c r="I83" s="4"/>
      <c r="J83" s="1"/>
      <c r="O83" s="6"/>
      <c r="P83" s="6"/>
      <c r="Q83" s="6"/>
      <c r="R83" s="6"/>
      <c r="U83" s="38"/>
    </row>
    <row r="84" spans="1:22" s="5" customFormat="1" ht="22" customHeight="1">
      <c r="A84" s="6"/>
      <c r="B84" s="12"/>
      <c r="C84" s="23"/>
      <c r="D84" s="23"/>
      <c r="E84" s="23"/>
      <c r="J84" s="1"/>
      <c r="K84" s="41"/>
      <c r="O84" s="6"/>
      <c r="P84" s="38"/>
      <c r="Q84" s="38"/>
      <c r="R84" s="38"/>
      <c r="S84" s="4"/>
      <c r="U84" s="38"/>
    </row>
    <row r="85" spans="1:22" s="5" customFormat="1" ht="22" customHeight="1">
      <c r="A85" s="1"/>
      <c r="C85" s="23"/>
      <c r="D85" s="23"/>
      <c r="E85" s="23"/>
      <c r="J85" s="1"/>
      <c r="O85" s="6"/>
      <c r="P85" s="38"/>
      <c r="Q85" s="38"/>
      <c r="R85" s="38"/>
      <c r="U85" s="38"/>
    </row>
    <row r="86" spans="1:22" s="5" customFormat="1" ht="22" customHeight="1">
      <c r="A86" s="1"/>
      <c r="C86" s="23"/>
      <c r="D86" s="23"/>
      <c r="E86" s="23"/>
      <c r="J86" s="4"/>
      <c r="O86" s="6"/>
      <c r="P86" s="6"/>
      <c r="Q86" s="6"/>
      <c r="R86" s="6"/>
      <c r="S86" s="4"/>
      <c r="U86" s="38"/>
      <c r="V86" s="4"/>
    </row>
    <row r="87" spans="1:22" s="5" customFormat="1" ht="22" customHeight="1">
      <c r="A87" s="1"/>
      <c r="C87" s="23"/>
      <c r="D87" s="23"/>
      <c r="E87" s="23"/>
      <c r="O87" s="6"/>
      <c r="P87" s="6"/>
      <c r="Q87" s="6"/>
      <c r="R87" s="6"/>
      <c r="S87" s="4"/>
      <c r="U87" s="38"/>
    </row>
    <row r="88" spans="1:22" s="5" customFormat="1" ht="22" customHeight="1">
      <c r="A88" s="1"/>
      <c r="B88" s="1"/>
      <c r="C88" s="14"/>
      <c r="D88" s="14"/>
      <c r="E88" s="14"/>
      <c r="K88" s="4"/>
      <c r="L88" s="4"/>
      <c r="M88" s="4"/>
      <c r="N88" s="4"/>
      <c r="O88" s="6"/>
      <c r="P88" s="38"/>
      <c r="Q88" s="38"/>
      <c r="R88" s="38"/>
      <c r="S88" s="12"/>
      <c r="U88" s="38"/>
      <c r="V88" s="4"/>
    </row>
    <row r="89" spans="1:22" s="5" customFormat="1" ht="22" customHeight="1">
      <c r="A89" s="4"/>
      <c r="B89" s="44"/>
      <c r="C89" s="23"/>
      <c r="D89" s="23"/>
      <c r="E89" s="23"/>
      <c r="F89" s="14"/>
      <c r="G89" s="14"/>
      <c r="H89" s="14"/>
      <c r="O89" s="6"/>
      <c r="P89" s="38"/>
      <c r="Q89" s="38"/>
      <c r="R89" s="38"/>
      <c r="U89" s="38"/>
      <c r="V89" s="12"/>
    </row>
    <row r="90" spans="1:22" s="4" customFormat="1" ht="22" customHeight="1">
      <c r="A90" s="5"/>
      <c r="B90" s="1"/>
      <c r="C90" s="28"/>
      <c r="D90" s="28"/>
      <c r="E90" s="28"/>
      <c r="G90" s="42"/>
      <c r="H90" s="42"/>
      <c r="O90" s="6"/>
      <c r="P90" s="38"/>
      <c r="Q90" s="38"/>
      <c r="R90" s="38"/>
      <c r="S90" s="5"/>
      <c r="U90" s="6"/>
      <c r="V90" s="5"/>
    </row>
    <row r="91" spans="1:22" s="6" customFormat="1" ht="22" customHeight="1">
      <c r="A91" s="5"/>
      <c r="B91" s="33"/>
      <c r="C91" s="23"/>
      <c r="D91" s="23"/>
      <c r="E91" s="23"/>
      <c r="F91" s="28"/>
      <c r="G91" s="28"/>
      <c r="H91" s="28"/>
      <c r="I91" s="5"/>
      <c r="J91" s="5"/>
      <c r="K91" s="12"/>
      <c r="L91" s="12"/>
      <c r="M91" s="12"/>
      <c r="N91" s="12"/>
      <c r="P91" s="38"/>
      <c r="Q91" s="38"/>
      <c r="R91" s="38"/>
      <c r="S91" s="5"/>
      <c r="U91" s="4"/>
      <c r="V91" s="5"/>
    </row>
    <row r="92" spans="1:22" s="1" customFormat="1" ht="22" customHeight="1">
      <c r="A92" s="5"/>
      <c r="B92" s="4"/>
      <c r="C92" s="23"/>
      <c r="D92" s="23"/>
      <c r="E92" s="23"/>
      <c r="F92" s="43"/>
      <c r="G92" s="43"/>
      <c r="H92" s="43"/>
      <c r="I92" s="4"/>
      <c r="J92" s="5"/>
      <c r="K92" s="5"/>
      <c r="L92" s="5"/>
      <c r="M92" s="5"/>
      <c r="N92" s="5"/>
      <c r="O92" s="6"/>
      <c r="P92" s="38"/>
      <c r="Q92" s="38"/>
      <c r="R92" s="38"/>
      <c r="S92" s="5"/>
      <c r="U92" s="5"/>
      <c r="V92" s="5"/>
    </row>
    <row r="93" spans="1:22" s="1" customFormat="1" ht="22" customHeight="1">
      <c r="A93" s="4"/>
      <c r="B93" s="5"/>
      <c r="C93" s="23"/>
      <c r="D93" s="23"/>
      <c r="E93" s="23"/>
      <c r="F93" s="23"/>
      <c r="G93" s="23"/>
      <c r="H93" s="23"/>
      <c r="I93" s="12"/>
      <c r="J93" s="5"/>
      <c r="K93" s="5"/>
      <c r="L93" s="5"/>
      <c r="M93" s="5"/>
      <c r="N93" s="5"/>
      <c r="O93" s="6"/>
      <c r="P93" s="38"/>
      <c r="Q93" s="38"/>
      <c r="R93" s="38"/>
      <c r="S93" s="5"/>
      <c r="U93" s="5"/>
      <c r="V93" s="5"/>
    </row>
    <row r="94" spans="1:22" s="1" customFormat="1" ht="22" customHeight="1">
      <c r="A94" s="5"/>
      <c r="B94" s="5"/>
      <c r="C94" s="23"/>
      <c r="D94" s="23"/>
      <c r="E94" s="23"/>
      <c r="F94" s="5"/>
      <c r="G94" s="5"/>
      <c r="H94" s="5"/>
      <c r="I94" s="5"/>
      <c r="J94" s="5"/>
      <c r="K94" s="5"/>
      <c r="L94" s="5"/>
      <c r="M94" s="5"/>
      <c r="N94" s="5"/>
      <c r="O94" s="6"/>
      <c r="P94" s="38"/>
      <c r="Q94" s="38"/>
      <c r="R94" s="38"/>
      <c r="S94" s="5"/>
      <c r="U94" s="5"/>
      <c r="V94" s="5"/>
    </row>
    <row r="95" spans="1:22" s="1" customFormat="1" ht="22" customHeight="1">
      <c r="A95" s="5"/>
      <c r="B95" s="5"/>
      <c r="C95" s="23"/>
      <c r="D95" s="23"/>
      <c r="E95" s="23"/>
      <c r="F95" s="5"/>
      <c r="G95" s="5"/>
      <c r="H95" s="5"/>
      <c r="I95" s="5"/>
      <c r="J95" s="5"/>
      <c r="K95" s="5"/>
      <c r="L95" s="5"/>
      <c r="M95" s="5"/>
      <c r="N95" s="5"/>
      <c r="O95" s="6"/>
      <c r="P95" s="38"/>
      <c r="Q95" s="38"/>
      <c r="R95" s="38"/>
      <c r="S95" s="5"/>
      <c r="U95" s="5"/>
      <c r="V95" s="5"/>
    </row>
    <row r="96" spans="1:22" s="4" customFormat="1" ht="22" customHeight="1">
      <c r="A96" s="5"/>
      <c r="C96" s="23"/>
      <c r="D96" s="23"/>
      <c r="E96" s="23"/>
      <c r="F96" s="5"/>
      <c r="G96" s="5"/>
      <c r="H96" s="5"/>
      <c r="I96" s="5"/>
      <c r="K96" s="5"/>
      <c r="L96" s="5"/>
      <c r="M96" s="5"/>
      <c r="N96" s="5"/>
      <c r="O96" s="6"/>
      <c r="P96" s="38"/>
      <c r="Q96" s="38"/>
      <c r="R96" s="38"/>
      <c r="S96" s="5"/>
      <c r="U96" s="5"/>
    </row>
    <row r="97" spans="1:22" s="5" customFormat="1" ht="22" customHeight="1">
      <c r="C97" s="1"/>
      <c r="D97" s="1"/>
      <c r="E97" s="1"/>
      <c r="F97" s="28"/>
      <c r="G97" s="28"/>
      <c r="H97" s="28"/>
      <c r="J97" s="1"/>
      <c r="O97" s="6"/>
      <c r="P97" s="6"/>
      <c r="Q97" s="6"/>
      <c r="R97" s="6"/>
      <c r="S97" s="4"/>
      <c r="V97" s="6"/>
    </row>
    <row r="98" spans="1:22" s="5" customFormat="1" ht="22" customHeight="1">
      <c r="A98" s="4"/>
      <c r="B98" s="4"/>
      <c r="C98" s="1"/>
      <c r="D98" s="1"/>
      <c r="E98" s="1"/>
      <c r="O98" s="4"/>
      <c r="P98" s="4"/>
      <c r="Q98" s="4"/>
      <c r="R98" s="4"/>
      <c r="S98" s="6"/>
      <c r="U98" s="4"/>
      <c r="V98" s="1"/>
    </row>
    <row r="99" spans="1:22" s="5" customFormat="1" ht="22" customHeight="1">
      <c r="A99" s="1"/>
      <c r="C99" s="1"/>
      <c r="D99" s="1"/>
      <c r="E99" s="1"/>
      <c r="K99" s="4"/>
      <c r="L99" s="4"/>
      <c r="M99" s="4"/>
      <c r="N99" s="4"/>
      <c r="S99" s="1"/>
      <c r="V99" s="1"/>
    </row>
    <row r="100" spans="1:22" s="4" customFormat="1" ht="22" customHeight="1">
      <c r="A100" s="1"/>
      <c r="C100" s="1"/>
      <c r="D100" s="1"/>
      <c r="E100" s="1"/>
      <c r="J100" s="5"/>
      <c r="K100" s="6"/>
      <c r="L100" s="6"/>
      <c r="M100" s="6"/>
      <c r="N100" s="6"/>
      <c r="O100" s="5"/>
      <c r="P100" s="5"/>
      <c r="Q100" s="5"/>
      <c r="R100" s="5"/>
      <c r="S100" s="1"/>
      <c r="V100" s="1"/>
    </row>
    <row r="101" spans="1:22" s="5" customFormat="1" ht="22" customHeight="1">
      <c r="A101" s="1"/>
      <c r="B101" s="33"/>
      <c r="C101" s="4"/>
      <c r="D101" s="4"/>
      <c r="E101" s="4"/>
      <c r="F101" s="6"/>
      <c r="G101" s="6"/>
      <c r="H101" s="6"/>
      <c r="I101" s="6"/>
      <c r="J101" s="1"/>
      <c r="K101" s="1"/>
      <c r="L101" s="1"/>
      <c r="M101" s="1"/>
      <c r="N101" s="1"/>
      <c r="S101" s="1"/>
      <c r="U101" s="12"/>
      <c r="V101" s="1"/>
    </row>
    <row r="102" spans="1:22" s="5" customFormat="1" ht="22" customHeight="1">
      <c r="A102" s="4"/>
      <c r="B102" s="33"/>
      <c r="F102" s="1"/>
      <c r="G102" s="1"/>
      <c r="H102" s="1"/>
      <c r="I102" s="1"/>
      <c r="J102" s="1"/>
      <c r="K102" s="1"/>
      <c r="L102" s="1"/>
      <c r="M102" s="1"/>
      <c r="N102" s="1"/>
      <c r="S102" s="1"/>
      <c r="V102" s="4"/>
    </row>
    <row r="103" spans="1:22" s="5" customFormat="1" ht="22" customHeight="1">
      <c r="B103" s="4"/>
      <c r="F103" s="1"/>
      <c r="G103" s="1"/>
      <c r="H103" s="1"/>
      <c r="I103" s="1"/>
      <c r="J103" s="1"/>
      <c r="K103" s="1"/>
      <c r="L103" s="1"/>
      <c r="M103" s="1"/>
      <c r="N103" s="1"/>
      <c r="S103" s="4"/>
    </row>
    <row r="104" spans="1:22" s="5" customFormat="1" ht="22" customHeight="1">
      <c r="F104" s="1"/>
      <c r="G104" s="1"/>
      <c r="H104" s="1"/>
      <c r="I104" s="1"/>
      <c r="J104" s="1"/>
      <c r="K104" s="1"/>
      <c r="L104" s="1"/>
      <c r="M104" s="1"/>
      <c r="N104" s="1"/>
    </row>
    <row r="105" spans="1:22" s="5" customFormat="1" ht="22" customHeight="1">
      <c r="A105" s="4"/>
      <c r="C105" s="23"/>
      <c r="D105" s="23"/>
      <c r="E105" s="23"/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</row>
    <row r="106" spans="1:22" s="4" customFormat="1" ht="22" customHeight="1">
      <c r="A106" s="5"/>
      <c r="C106" s="5"/>
      <c r="D106" s="5"/>
      <c r="E106" s="5"/>
      <c r="F106" s="23"/>
      <c r="G106" s="23"/>
      <c r="H106" s="23"/>
      <c r="J106" s="5"/>
      <c r="K106" s="5"/>
      <c r="L106" s="5"/>
      <c r="M106" s="5"/>
      <c r="N106" s="5"/>
      <c r="O106" s="5"/>
      <c r="P106" s="5"/>
      <c r="Q106" s="5"/>
      <c r="R106" s="5"/>
      <c r="S106" s="5"/>
      <c r="U106" s="5"/>
      <c r="V106" s="5"/>
    </row>
    <row r="107" spans="1:22" s="1" customFormat="1" ht="2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U107" s="5"/>
      <c r="V107" s="4"/>
    </row>
    <row r="108" spans="1:22" s="1" customFormat="1" ht="22" customHeight="1">
      <c r="A108" s="5"/>
      <c r="B108" s="5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12"/>
      <c r="P108" s="12"/>
      <c r="Q108" s="12"/>
      <c r="R108" s="12"/>
      <c r="S108" s="5"/>
      <c r="U108" s="5"/>
      <c r="V108" s="5"/>
    </row>
    <row r="109" spans="1:22" s="1" customFormat="1" ht="22" customHeight="1">
      <c r="A109" s="4"/>
      <c r="B109" s="5"/>
      <c r="C109" s="23"/>
      <c r="D109" s="23"/>
      <c r="E109" s="23"/>
      <c r="F109" s="5"/>
      <c r="G109" s="5"/>
      <c r="H109" s="5"/>
      <c r="I109" s="5"/>
      <c r="J109" s="4"/>
      <c r="K109" s="4"/>
      <c r="L109" s="4"/>
      <c r="M109" s="4"/>
      <c r="N109" s="4"/>
      <c r="O109" s="5"/>
      <c r="P109" s="5"/>
      <c r="Q109" s="5"/>
      <c r="R109" s="5"/>
      <c r="S109" s="5"/>
      <c r="U109" s="5"/>
    </row>
    <row r="110" spans="1:22" s="4" customFormat="1" ht="22" customHeight="1">
      <c r="A110" s="1"/>
      <c r="C110" s="14"/>
      <c r="D110" s="14"/>
      <c r="E110" s="14"/>
      <c r="F110" s="42"/>
      <c r="G110" s="42"/>
      <c r="H110" s="42"/>
      <c r="J110" s="5"/>
      <c r="K110" s="5"/>
      <c r="L110" s="5"/>
      <c r="M110" s="5"/>
      <c r="N110" s="5"/>
      <c r="O110" s="5"/>
      <c r="P110" s="5"/>
      <c r="Q110" s="5"/>
      <c r="R110" s="5"/>
      <c r="S110" s="5"/>
      <c r="U110" s="6"/>
      <c r="V110" s="5"/>
    </row>
    <row r="111" spans="1:22" s="5" customFormat="1" ht="22" customHeight="1">
      <c r="B111" s="1"/>
      <c r="C111" s="1"/>
      <c r="D111" s="1"/>
      <c r="E111" s="1"/>
      <c r="F111" s="14"/>
      <c r="G111" s="14"/>
      <c r="H111" s="14"/>
      <c r="U111" s="1"/>
    </row>
    <row r="112" spans="1:22" s="5" customFormat="1" ht="22" customHeight="1">
      <c r="C112" s="1"/>
      <c r="D112" s="1"/>
      <c r="E112" s="1"/>
      <c r="U112" s="1"/>
      <c r="V112" s="4"/>
    </row>
    <row r="113" spans="1:26" s="4" customFormat="1" ht="22" customHeight="1">
      <c r="A113" s="1"/>
      <c r="B113" s="5"/>
      <c r="C113" s="1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U113" s="1"/>
      <c r="V113" s="1"/>
    </row>
    <row r="114" spans="1:26" s="5" customFormat="1" ht="22" customHeight="1">
      <c r="A114" s="1"/>
      <c r="B114" s="1"/>
      <c r="J114" s="1"/>
      <c r="K114" s="1"/>
      <c r="L114" s="1"/>
      <c r="M114" s="1"/>
      <c r="N114" s="1"/>
      <c r="S114" s="1"/>
      <c r="U114" s="1"/>
      <c r="V114" s="1"/>
    </row>
    <row r="115" spans="1:26" s="5" customFormat="1" ht="22" customHeight="1">
      <c r="A115" s="1"/>
      <c r="B115" s="1"/>
      <c r="F115" s="1"/>
      <c r="G115" s="1"/>
      <c r="H115" s="1"/>
      <c r="I115" s="1"/>
      <c r="J115" s="1"/>
      <c r="K115" s="1"/>
      <c r="L115" s="1"/>
      <c r="M115" s="1"/>
      <c r="N115" s="1"/>
      <c r="S115" s="1"/>
      <c r="U115" s="4"/>
      <c r="V115" s="1"/>
    </row>
    <row r="116" spans="1:26" s="5" customFormat="1" ht="22" customHeight="1">
      <c r="A116" s="4"/>
      <c r="B116" s="1"/>
      <c r="C116" s="1"/>
      <c r="D116" s="1"/>
      <c r="E116" s="1"/>
      <c r="I116" s="1"/>
      <c r="J116" s="1"/>
      <c r="K116" s="1"/>
      <c r="L116" s="1"/>
      <c r="M116" s="1"/>
      <c r="N116" s="1"/>
      <c r="O116" s="4"/>
      <c r="P116" s="4"/>
      <c r="Q116" s="4"/>
      <c r="R116" s="4"/>
      <c r="S116" s="1"/>
      <c r="V116" s="4"/>
    </row>
    <row r="117" spans="1:26" s="4" customFormat="1" ht="22" customHeight="1">
      <c r="A117" s="1"/>
      <c r="B117" s="48"/>
      <c r="C117" s="1"/>
      <c r="D117" s="5"/>
      <c r="E117" s="5"/>
      <c r="F117" s="1"/>
      <c r="G117" s="1"/>
      <c r="H117" s="1"/>
      <c r="I117" s="1"/>
      <c r="O117" s="6"/>
      <c r="P117" s="6"/>
      <c r="Q117" s="6"/>
      <c r="R117" s="6"/>
      <c r="U117" s="5"/>
      <c r="V117" s="5"/>
    </row>
    <row r="118" spans="1:26" s="1" customFormat="1" ht="22" customHeight="1">
      <c r="B118" s="4"/>
      <c r="C118" s="5"/>
      <c r="D118" s="5"/>
      <c r="E118" s="5"/>
      <c r="F118" s="5"/>
      <c r="G118" s="5"/>
      <c r="H118" s="5"/>
      <c r="I118" s="4"/>
      <c r="J118" s="5"/>
      <c r="K118" s="5"/>
      <c r="L118" s="5"/>
      <c r="M118" s="5"/>
      <c r="N118" s="5"/>
      <c r="S118" s="5"/>
      <c r="U118" s="5"/>
      <c r="V118" s="5"/>
    </row>
    <row r="119" spans="1:26" s="5" customFormat="1" ht="22" customHeight="1">
      <c r="A119" s="10"/>
      <c r="B119" s="33"/>
      <c r="C119" s="45"/>
      <c r="D119" s="45"/>
      <c r="E119" s="45"/>
      <c r="O119" s="1"/>
      <c r="P119" s="1"/>
      <c r="Q119" s="1"/>
      <c r="R119" s="1"/>
      <c r="U119" s="4"/>
      <c r="V119" s="4"/>
    </row>
    <row r="120" spans="1:26" s="5" customFormat="1" ht="22" customHeight="1">
      <c r="A120" s="10"/>
      <c r="B120" s="33"/>
      <c r="C120" s="1"/>
      <c r="D120" s="1"/>
      <c r="E120" s="1"/>
      <c r="F120" s="45"/>
      <c r="G120" s="45"/>
      <c r="H120" s="45"/>
      <c r="I120" s="4"/>
      <c r="J120" s="4"/>
      <c r="K120" s="4"/>
      <c r="L120" s="4"/>
      <c r="M120" s="4"/>
      <c r="N120" s="4"/>
      <c r="O120" s="1"/>
      <c r="P120" s="1"/>
      <c r="Q120" s="1"/>
      <c r="R120" s="1"/>
      <c r="S120" s="4"/>
    </row>
    <row r="121" spans="1:26" s="1" customFormat="1" ht="22" customHeight="1">
      <c r="A121" s="2"/>
      <c r="B121" s="10"/>
      <c r="F121" s="4"/>
      <c r="G121" s="4"/>
      <c r="H121" s="4"/>
      <c r="I121" s="4"/>
      <c r="J121" s="4"/>
      <c r="K121" s="4"/>
      <c r="L121" s="4"/>
      <c r="M121" s="4"/>
      <c r="N121" s="4"/>
      <c r="S121" s="5"/>
      <c r="U121" s="5"/>
      <c r="V121" s="5"/>
    </row>
    <row r="122" spans="1:26" s="1" customFormat="1" ht="22" customHeight="1">
      <c r="A122" s="2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4"/>
      <c r="P122" s="4"/>
      <c r="Q122" s="4"/>
      <c r="R122" s="4"/>
      <c r="S122" s="5"/>
      <c r="U122" s="5"/>
      <c r="V122" s="5"/>
    </row>
    <row r="123" spans="1:26" s="1" customFormat="1" ht="22" customHeight="1">
      <c r="F123" s="23"/>
      <c r="G123" s="23"/>
      <c r="H123" s="2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U123" s="5"/>
      <c r="V123" s="4"/>
    </row>
    <row r="124" spans="1:26" s="4" customFormat="1" ht="22" customHeight="1">
      <c r="B124" s="1"/>
      <c r="C124" s="1"/>
      <c r="D124" s="1"/>
      <c r="E124" s="1"/>
      <c r="F124" s="46"/>
      <c r="O124" s="5"/>
      <c r="P124" s="5"/>
      <c r="Q124" s="5"/>
      <c r="R124" s="5"/>
      <c r="U124" s="1"/>
      <c r="V124" s="5"/>
    </row>
    <row r="125" spans="1:26" s="1" customFormat="1" ht="22" customHeight="1">
      <c r="C125" s="9"/>
      <c r="D125" s="9"/>
      <c r="E125" s="9"/>
      <c r="S125" s="5"/>
      <c r="T125" s="5"/>
      <c r="U125" s="5"/>
      <c r="V125" s="5"/>
      <c r="Z125" s="5"/>
    </row>
    <row r="126" spans="1:26" s="1" customFormat="1" ht="22" customHeight="1">
      <c r="B126" s="10"/>
      <c r="F126" s="47"/>
      <c r="G126" s="47"/>
      <c r="H126" s="4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5"/>
    </row>
    <row r="127" spans="1:26" s="1" customFormat="1" ht="22" customHeight="1">
      <c r="B127" s="10"/>
      <c r="C127" s="42"/>
      <c r="D127" s="42"/>
      <c r="E127" s="4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 spans="1:26" s="10" customFormat="1" ht="22" customHeight="1">
      <c r="B128" s="2"/>
      <c r="C128" s="49"/>
      <c r="D128" s="49"/>
      <c r="E128" s="49"/>
      <c r="F128" s="42"/>
      <c r="G128" s="42"/>
      <c r="H128" s="4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5"/>
      <c r="T128" s="5"/>
      <c r="U128" s="5"/>
      <c r="V128" s="5"/>
      <c r="W128" s="1"/>
      <c r="X128" s="5"/>
      <c r="Y128" s="5"/>
      <c r="Z128" s="1"/>
    </row>
    <row r="129" spans="2:26" s="10" customFormat="1" ht="22" customHeight="1">
      <c r="B129" s="2"/>
      <c r="C129" s="30"/>
      <c r="D129" s="30"/>
      <c r="E129" s="30"/>
      <c r="F129" s="49"/>
      <c r="G129" s="49"/>
      <c r="H129" s="4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"/>
      <c r="T129" s="5"/>
      <c r="U129" s="5"/>
      <c r="V129" s="5"/>
      <c r="W129" s="1"/>
      <c r="X129" s="5"/>
      <c r="Y129" s="5"/>
      <c r="Z129" s="1"/>
    </row>
    <row r="130" spans="2:26" s="2" customFormat="1" ht="22" customHeight="1">
      <c r="B130" s="1"/>
      <c r="C130" s="51"/>
      <c r="D130" s="51"/>
      <c r="E130" s="51"/>
      <c r="F130" s="30"/>
      <c r="G130" s="30"/>
      <c r="H130" s="3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4"/>
      <c r="Y130" s="4"/>
      <c r="Z130" s="4"/>
    </row>
    <row r="131" spans="2:26" s="2" customFormat="1" ht="22" customHeight="1">
      <c r="B131" s="10"/>
      <c r="C131" s="10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  <c r="Z131" s="4"/>
    </row>
    <row r="132" spans="2:26" s="1" customFormat="1" ht="22" customHeight="1">
      <c r="B132" s="2"/>
      <c r="C132" s="30"/>
      <c r="D132" s="30"/>
      <c r="E132" s="30"/>
      <c r="F132" s="10"/>
      <c r="G132" s="10"/>
      <c r="H132" s="10"/>
      <c r="I132" s="4"/>
      <c r="J132" s="4"/>
      <c r="K132" s="4"/>
      <c r="L132" s="4"/>
      <c r="M132" s="4"/>
      <c r="N132" s="4"/>
      <c r="O132" s="4"/>
      <c r="P132" s="4"/>
      <c r="Q132" s="4"/>
      <c r="R132" s="4"/>
      <c r="X132" s="5"/>
      <c r="Y132" s="5"/>
    </row>
    <row r="133" spans="2:26" s="1" customFormat="1" ht="22" customHeight="1">
      <c r="B133" s="33"/>
      <c r="C133" s="2"/>
      <c r="D133" s="2"/>
      <c r="E133" s="2"/>
      <c r="F133" s="30"/>
      <c r="G133" s="30"/>
      <c r="H133" s="30"/>
      <c r="X133" s="5"/>
      <c r="Y133" s="5"/>
    </row>
    <row r="134" spans="2:26" s="1" customFormat="1" ht="22" customHeight="1">
      <c r="B134" s="33"/>
      <c r="F134" s="2"/>
      <c r="G134" s="2"/>
      <c r="H134" s="2"/>
      <c r="U134" s="4"/>
      <c r="V134" s="4"/>
      <c r="W134" s="4"/>
      <c r="X134" s="4"/>
      <c r="Y134" s="4"/>
      <c r="Z134" s="10"/>
    </row>
    <row r="135" spans="2:26" s="1" customFormat="1" ht="22" customHeight="1">
      <c r="B135" s="33"/>
      <c r="U135" s="5"/>
      <c r="V135" s="5"/>
      <c r="W135" s="5"/>
      <c r="Z135" s="10"/>
    </row>
    <row r="136" spans="2:26" s="1" customFormat="1" ht="22" customHeight="1">
      <c r="B136" s="33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"/>
      <c r="V136" s="5"/>
      <c r="W136" s="5"/>
      <c r="X136" s="5"/>
      <c r="Y136" s="5"/>
      <c r="Z136" s="2"/>
    </row>
    <row r="137" spans="2:26" s="1" customFormat="1" ht="22" customHeight="1">
      <c r="B137" s="33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4"/>
      <c r="V137" s="4"/>
      <c r="W137" s="4"/>
      <c r="X137" s="5"/>
      <c r="Y137" s="5"/>
    </row>
    <row r="138" spans="2:26" s="1" customFormat="1" ht="18" customHeight="1">
      <c r="B138" s="3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4"/>
      <c r="W138" s="4"/>
    </row>
    <row r="139" spans="2:26" s="1" customFormat="1" ht="22" customHeight="1">
      <c r="B139" s="33"/>
      <c r="U139" s="5"/>
      <c r="V139" s="5"/>
      <c r="W139" s="5"/>
    </row>
    <row r="140" spans="2:26" s="1" customFormat="1" ht="22" customHeight="1">
      <c r="B140" s="33"/>
      <c r="C140" s="30"/>
      <c r="D140" s="30"/>
      <c r="E140" s="30"/>
      <c r="U140" s="5"/>
      <c r="V140" s="5"/>
      <c r="W140" s="5"/>
    </row>
    <row r="141" spans="2:26" ht="22" customHeight="1">
      <c r="B141" s="52"/>
      <c r="C141" s="33"/>
      <c r="D141" s="33"/>
      <c r="E141" s="33"/>
      <c r="F141" s="30"/>
      <c r="G141" s="30"/>
      <c r="H141" s="3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4"/>
      <c r="W141" s="4"/>
      <c r="X141" s="1"/>
      <c r="Y141" s="1"/>
      <c r="Z141" s="1"/>
    </row>
    <row r="142" spans="2:26" ht="22" customHeight="1">
      <c r="B142" s="1"/>
      <c r="C142" s="53"/>
      <c r="D142" s="53"/>
      <c r="E142" s="53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4"/>
      <c r="Y142" s="4"/>
      <c r="Z142" s="1"/>
    </row>
    <row r="143" spans="2:26" ht="22" customHeight="1">
      <c r="B143" s="25"/>
      <c r="C143" s="1"/>
      <c r="D143" s="1"/>
      <c r="E143" s="1"/>
      <c r="F143" s="53"/>
      <c r="G143" s="53"/>
      <c r="H143" s="5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/>
      <c r="V143" s="5"/>
      <c r="W143" s="5"/>
      <c r="X143" s="1"/>
      <c r="Y143" s="1"/>
      <c r="Z143" s="1"/>
    </row>
    <row r="144" spans="2:26" ht="22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1"/>
      <c r="Y144" s="1"/>
      <c r="Z144" s="1"/>
    </row>
    <row r="145" spans="2:26" ht="22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ht="22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0"/>
      <c r="Y146" s="10"/>
      <c r="Z146" s="1"/>
    </row>
    <row r="147" spans="2:26" ht="22" customHeight="1">
      <c r="B147" s="1"/>
      <c r="D147" s="1"/>
      <c r="E147" s="1"/>
      <c r="F147" s="5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0"/>
      <c r="Y147" s="10"/>
    </row>
    <row r="148" spans="2:26" ht="22" customHeight="1">
      <c r="B148" s="1"/>
      <c r="D148" s="1"/>
      <c r="E148" s="1"/>
      <c r="F148" s="39"/>
      <c r="G148" s="1"/>
      <c r="U148" s="1"/>
      <c r="V148" s="1"/>
      <c r="W148" s="1"/>
      <c r="X148" s="2"/>
      <c r="Y148" s="2"/>
    </row>
    <row r="149" spans="2:26" ht="22" customHeight="1">
      <c r="B149" s="1"/>
      <c r="D149" s="1"/>
      <c r="E149" s="1"/>
      <c r="F149" s="39"/>
      <c r="G149" s="1"/>
      <c r="U149" s="4"/>
      <c r="V149" s="4"/>
      <c r="W149" s="4"/>
      <c r="X149" s="1"/>
      <c r="Y149" s="1"/>
    </row>
    <row r="150" spans="2:26" ht="22" customHeight="1">
      <c r="B150" s="25"/>
      <c r="D150" s="1"/>
      <c r="E150" s="1"/>
      <c r="F150" s="39"/>
      <c r="G150" s="1"/>
      <c r="U150" s="1"/>
      <c r="V150" s="1"/>
      <c r="W150" s="1"/>
      <c r="X150" s="1"/>
      <c r="Y150" s="1"/>
    </row>
    <row r="151" spans="2:26" ht="22" customHeight="1">
      <c r="B151" s="1"/>
      <c r="D151" s="1"/>
      <c r="E151" s="1"/>
      <c r="F151" s="1"/>
      <c r="G151" s="1"/>
      <c r="U151" s="1"/>
      <c r="V151" s="1"/>
      <c r="W151" s="1"/>
      <c r="X151" s="1"/>
      <c r="Y151" s="1"/>
    </row>
    <row r="152" spans="2:26" ht="22" customHeight="1">
      <c r="B152" s="33"/>
      <c r="D152" s="1"/>
      <c r="E152" s="1"/>
      <c r="F152" s="39"/>
      <c r="G152" s="1"/>
      <c r="U152" s="1"/>
      <c r="V152" s="1"/>
      <c r="W152" s="1"/>
      <c r="X152" s="1"/>
      <c r="Y152" s="1"/>
    </row>
    <row r="153" spans="2:26" ht="22" customHeight="1">
      <c r="B153" s="33"/>
      <c r="D153" s="39"/>
      <c r="E153" s="1"/>
      <c r="F153" s="1"/>
      <c r="G153" s="1"/>
      <c r="U153" s="10"/>
      <c r="V153" s="10"/>
      <c r="W153" s="10"/>
      <c r="X153" s="1"/>
      <c r="Y153" s="1"/>
    </row>
    <row r="154" spans="2:26" ht="22" customHeight="1">
      <c r="B154" s="1"/>
      <c r="D154" s="1"/>
      <c r="E154" s="1"/>
      <c r="F154" s="39"/>
      <c r="G154" s="1"/>
      <c r="U154" s="10"/>
      <c r="V154" s="10"/>
      <c r="W154" s="10"/>
      <c r="X154" s="1"/>
      <c r="Y154" s="1"/>
    </row>
    <row r="155" spans="2:26" ht="22" customHeight="1">
      <c r="B155" s="33"/>
      <c r="C155" s="1"/>
      <c r="D155" s="1"/>
      <c r="E155" s="1"/>
      <c r="F155" s="39"/>
      <c r="G155" s="1"/>
      <c r="U155" s="2"/>
      <c r="V155" s="2"/>
      <c r="W155" s="2"/>
      <c r="X155" s="1"/>
      <c r="Y155" s="1"/>
    </row>
    <row r="156" spans="2:26" ht="22" customHeight="1">
      <c r="B156" s="33"/>
      <c r="C156" s="1"/>
      <c r="D156" s="1"/>
      <c r="E156" s="1"/>
      <c r="F156" s="1"/>
      <c r="G156" s="1"/>
      <c r="U156" s="1"/>
      <c r="V156" s="1"/>
      <c r="W156" s="1"/>
      <c r="X156" s="1"/>
      <c r="Y156" s="1"/>
    </row>
    <row r="157" spans="2:26" ht="22" customHeight="1">
      <c r="B157" s="33"/>
      <c r="C157" s="1"/>
      <c r="D157" s="1"/>
      <c r="E157" s="1"/>
      <c r="F157" s="1"/>
      <c r="G157" s="1"/>
      <c r="U157" s="1"/>
      <c r="V157" s="1"/>
      <c r="W157" s="1"/>
      <c r="X157" s="1"/>
      <c r="Y157" s="1"/>
    </row>
    <row r="158" spans="2:26" ht="22" customHeight="1">
      <c r="B158" s="33"/>
      <c r="C158" s="1"/>
      <c r="D158" s="1"/>
      <c r="E158" s="1"/>
      <c r="F158" s="1"/>
      <c r="G158" s="1"/>
      <c r="U158" s="1"/>
      <c r="V158" s="1"/>
      <c r="W158" s="1"/>
    </row>
    <row r="159" spans="2:26" ht="22" customHeight="1">
      <c r="B159" s="33"/>
      <c r="C159" s="1"/>
      <c r="D159" s="1"/>
      <c r="E159" s="1"/>
      <c r="F159" s="1"/>
      <c r="U159" s="1"/>
      <c r="V159" s="1"/>
      <c r="W159" s="1"/>
    </row>
    <row r="160" spans="2:26" ht="22" customHeight="1">
      <c r="B160" s="33"/>
      <c r="C160" s="1"/>
      <c r="D160" s="1"/>
      <c r="E160" s="1"/>
      <c r="F160" s="1"/>
      <c r="U160" s="1"/>
      <c r="V160" s="1"/>
      <c r="W160" s="1"/>
    </row>
    <row r="161" spans="2:8" ht="22" customHeight="1">
      <c r="B161" s="33"/>
      <c r="C161" s="1"/>
      <c r="D161" s="1"/>
      <c r="E161" s="1"/>
      <c r="F161" s="39"/>
    </row>
    <row r="162" spans="2:8" ht="22" customHeight="1">
      <c r="B162" s="33"/>
      <c r="C162" s="1"/>
      <c r="D162" s="1"/>
      <c r="E162" s="1"/>
      <c r="F162" s="39"/>
    </row>
    <row r="163" spans="2:8" ht="22" customHeight="1">
      <c r="B163" s="44"/>
      <c r="F163" s="1"/>
    </row>
    <row r="164" spans="2:8" ht="22" customHeight="1">
      <c r="B164" s="33"/>
    </row>
    <row r="165" spans="2:8" ht="22" customHeight="1">
      <c r="B165" s="33"/>
    </row>
    <row r="166" spans="2:8" ht="22" customHeight="1">
      <c r="B166" s="33"/>
    </row>
    <row r="167" spans="2:8" ht="22" customHeight="1">
      <c r="B167" s="33"/>
      <c r="F167" s="55"/>
    </row>
    <row r="168" spans="2:8" ht="22" customHeight="1">
      <c r="B168" s="1"/>
      <c r="F168" s="55"/>
    </row>
    <row r="169" spans="2:8" ht="22" customHeight="1">
      <c r="B169" s="1"/>
      <c r="F169" s="55"/>
    </row>
    <row r="170" spans="2:8" ht="22" customHeight="1">
      <c r="B170" s="44"/>
    </row>
    <row r="171" spans="2:8" ht="22" customHeight="1">
      <c r="B171" s="33"/>
    </row>
    <row r="172" spans="2:8" ht="22" customHeight="1">
      <c r="B172" s="4"/>
      <c r="C172" s="1"/>
      <c r="D172" s="1"/>
      <c r="E172" s="1"/>
    </row>
    <row r="173" spans="2:8" ht="22" customHeight="1">
      <c r="B173" s="1"/>
      <c r="C173" s="1"/>
      <c r="D173" s="1"/>
      <c r="E173" s="1"/>
      <c r="F173" s="1"/>
      <c r="G173" s="1"/>
      <c r="H173" s="1"/>
    </row>
    <row r="174" spans="2:8" ht="22" customHeight="1">
      <c r="B174" s="1"/>
      <c r="C174" s="38"/>
      <c r="D174" s="38"/>
      <c r="E174" s="38"/>
      <c r="F174" s="1"/>
      <c r="G174" s="1"/>
      <c r="H174" s="1"/>
    </row>
    <row r="175" spans="2:8" ht="22" customHeight="1">
      <c r="B175" s="4"/>
      <c r="C175" s="1"/>
      <c r="D175" s="1"/>
      <c r="E175" s="1"/>
      <c r="F175" s="38"/>
      <c r="G175" s="38"/>
      <c r="H175" s="38"/>
    </row>
    <row r="176" spans="2:8" ht="22" customHeight="1">
      <c r="B176" s="4"/>
      <c r="C176" s="1"/>
      <c r="D176" s="1"/>
      <c r="E176" s="1"/>
      <c r="F176" s="1"/>
      <c r="G176" s="1"/>
      <c r="H176" s="1"/>
    </row>
    <row r="177" spans="2:9" ht="22" customHeight="1">
      <c r="B177" s="4"/>
      <c r="C177" s="1"/>
      <c r="D177" s="1"/>
      <c r="E177" s="1"/>
      <c r="F177" s="1"/>
      <c r="G177" s="1"/>
      <c r="H177" s="1"/>
    </row>
    <row r="178" spans="2:9" ht="22" customHeight="1">
      <c r="B178" s="1"/>
      <c r="C178" s="1"/>
      <c r="D178" s="1"/>
      <c r="E178" s="1"/>
      <c r="F178" s="1"/>
      <c r="G178" s="1"/>
      <c r="H178" s="1"/>
    </row>
    <row r="179" spans="2:9" ht="22" customHeight="1">
      <c r="B179" s="4"/>
      <c r="C179" s="1"/>
      <c r="D179" s="1"/>
      <c r="E179" s="1"/>
      <c r="F179" s="1"/>
      <c r="G179" s="1"/>
      <c r="H179" s="1"/>
    </row>
    <row r="180" spans="2:9" ht="22" customHeight="1">
      <c r="B180" s="4"/>
      <c r="C180" s="14"/>
      <c r="D180" s="14"/>
      <c r="E180" s="14"/>
      <c r="F180" s="1"/>
      <c r="G180" s="1"/>
      <c r="H180" s="1"/>
    </row>
    <row r="181" spans="2:9" ht="22" customHeight="1">
      <c r="B181" s="4"/>
      <c r="C181" s="1"/>
      <c r="D181" s="1"/>
      <c r="E181" s="1"/>
      <c r="F181" s="14"/>
      <c r="G181" s="14"/>
      <c r="H181" s="14"/>
      <c r="I181" s="14"/>
    </row>
    <row r="182" spans="2:9" ht="22" customHeight="1">
      <c r="B182" s="1"/>
      <c r="G182" s="39"/>
      <c r="H182" s="39"/>
      <c r="I182" s="39"/>
    </row>
    <row r="183" spans="2:9" ht="22" customHeight="1">
      <c r="B183" s="4"/>
      <c r="G183" s="1"/>
      <c r="H183" s="1"/>
      <c r="I183" s="1"/>
    </row>
    <row r="184" spans="2:9" ht="22" customHeight="1">
      <c r="B184" s="4"/>
    </row>
    <row r="185" spans="2:9" ht="22" customHeight="1">
      <c r="B185" s="4"/>
    </row>
    <row r="186" spans="2:9" ht="22" customHeight="1">
      <c r="B186" s="4"/>
    </row>
    <row r="187" spans="2:9" ht="22" customHeight="1">
      <c r="B187" s="4"/>
    </row>
    <row r="188" spans="2:9" ht="22" customHeight="1">
      <c r="B188" s="4"/>
    </row>
    <row r="189" spans="2:9" ht="22" customHeight="1">
      <c r="B189" s="4"/>
    </row>
    <row r="190" spans="2:9" ht="22" customHeight="1">
      <c r="B190" s="4"/>
    </row>
    <row r="191" spans="2:9" ht="22" customHeight="1">
      <c r="B191" s="4"/>
    </row>
    <row r="192" spans="2:9" ht="22" customHeight="1">
      <c r="B192" s="1"/>
    </row>
    <row r="193" spans="2:9" ht="22" customHeight="1">
      <c r="B193" s="1"/>
    </row>
    <row r="194" spans="2:9" ht="22" customHeight="1">
      <c r="B194" s="44"/>
    </row>
    <row r="195" spans="2:9" ht="22" customHeight="1">
      <c r="B195" s="33"/>
    </row>
    <row r="196" spans="2:9" ht="22" customHeight="1">
      <c r="B196" s="33"/>
      <c r="C196" s="1"/>
      <c r="D196" s="1"/>
      <c r="E196" s="1"/>
    </row>
    <row r="197" spans="2:9" ht="22" customHeight="1">
      <c r="B197" s="33"/>
      <c r="C197" s="28"/>
      <c r="D197" s="28"/>
      <c r="E197" s="28"/>
      <c r="F197" s="1"/>
      <c r="G197" s="1"/>
      <c r="H197" s="1"/>
      <c r="I197" s="1"/>
    </row>
    <row r="198" spans="2:9" ht="22" customHeight="1">
      <c r="B198" s="33"/>
      <c r="C198" s="1"/>
      <c r="D198" s="1"/>
      <c r="E198" s="1"/>
      <c r="F198" s="28"/>
      <c r="G198" s="28"/>
      <c r="H198" s="28"/>
      <c r="I198" s="1"/>
    </row>
    <row r="199" spans="2:9" ht="22" customHeight="1">
      <c r="B199" s="33"/>
      <c r="C199" s="1"/>
      <c r="D199" s="1"/>
      <c r="E199" s="1"/>
      <c r="F199" s="1"/>
      <c r="G199" s="1"/>
      <c r="H199" s="1"/>
      <c r="I199" s="1"/>
    </row>
    <row r="200" spans="2:9" ht="22" customHeight="1">
      <c r="B200" s="33"/>
      <c r="C200" s="1"/>
      <c r="D200" s="1"/>
      <c r="E200" s="1"/>
      <c r="F200" s="1"/>
      <c r="G200" s="1"/>
      <c r="H200" s="1"/>
      <c r="I200" s="1"/>
    </row>
    <row r="201" spans="2:9" ht="22" customHeight="1">
      <c r="B201" s="33"/>
      <c r="C201" s="1"/>
      <c r="D201" s="1"/>
      <c r="E201" s="1"/>
      <c r="F201" s="1"/>
      <c r="G201" s="1"/>
      <c r="H201" s="1"/>
      <c r="I201" s="1"/>
    </row>
    <row r="202" spans="2:9" ht="22" customHeight="1">
      <c r="B202" s="33"/>
      <c r="C202" s="1"/>
      <c r="D202" s="1"/>
      <c r="E202" s="1"/>
      <c r="F202" s="1"/>
      <c r="G202" s="1"/>
      <c r="H202" s="1"/>
      <c r="I202" s="1"/>
    </row>
    <row r="203" spans="2:9" ht="22" customHeight="1">
      <c r="B203" s="33"/>
      <c r="C203" s="39"/>
      <c r="D203" s="39"/>
      <c r="E203" s="39"/>
      <c r="F203" s="1"/>
      <c r="G203" s="1"/>
      <c r="H203" s="1"/>
      <c r="I203" s="1"/>
    </row>
    <row r="204" spans="2:9" ht="22" customHeight="1">
      <c r="B204" s="33"/>
      <c r="C204" s="39"/>
      <c r="D204" s="39"/>
      <c r="E204" s="39"/>
      <c r="F204" s="39"/>
      <c r="G204" s="39"/>
      <c r="H204" s="39"/>
      <c r="I204" s="1"/>
    </row>
    <row r="205" spans="2:9" ht="22" customHeight="1">
      <c r="B205" s="33"/>
      <c r="C205" s="39"/>
      <c r="D205" s="39"/>
      <c r="E205" s="39"/>
      <c r="F205" s="39"/>
      <c r="G205" s="39"/>
      <c r="H205" s="39"/>
      <c r="I205" s="1"/>
    </row>
    <row r="206" spans="2:9" ht="22" customHeight="1">
      <c r="B206" s="33"/>
      <c r="C206" s="54"/>
      <c r="D206" s="54"/>
      <c r="E206" s="54"/>
      <c r="F206" s="39"/>
      <c r="G206" s="39"/>
      <c r="H206" s="39"/>
      <c r="I206" s="1"/>
    </row>
    <row r="207" spans="2:9" ht="22" customHeight="1">
      <c r="B207" s="33"/>
      <c r="C207" s="54"/>
      <c r="D207" s="54"/>
      <c r="E207" s="54"/>
      <c r="F207" s="54"/>
      <c r="G207" s="54"/>
      <c r="H207" s="54"/>
      <c r="I207" s="1"/>
    </row>
    <row r="208" spans="2:9" ht="22" customHeight="1">
      <c r="B208" s="33"/>
      <c r="C208" s="38"/>
      <c r="D208" s="38"/>
      <c r="E208" s="38"/>
      <c r="F208" s="54"/>
      <c r="G208" s="54"/>
      <c r="H208" s="54"/>
      <c r="I208" s="1"/>
    </row>
    <row r="209" spans="2:9" ht="22" customHeight="1">
      <c r="B209" s="1"/>
      <c r="C209" s="41"/>
      <c r="D209" s="41"/>
      <c r="E209" s="41"/>
      <c r="F209" s="38"/>
      <c r="G209" s="1"/>
      <c r="H209" s="1"/>
      <c r="I209" s="1"/>
    </row>
    <row r="210" spans="2:9" ht="22" customHeight="1">
      <c r="B210" s="25"/>
      <c r="C210" s="1"/>
      <c r="D210" s="1"/>
      <c r="E210" s="1"/>
      <c r="F210" s="41"/>
      <c r="G210" s="41"/>
      <c r="H210" s="41"/>
      <c r="I210" s="1"/>
    </row>
    <row r="211" spans="2:9" ht="22" customHeight="1">
      <c r="B211" s="1"/>
      <c r="C211" s="1"/>
      <c r="D211" s="1"/>
      <c r="E211" s="1"/>
      <c r="F211" s="1"/>
      <c r="G211" s="1"/>
      <c r="H211" s="1"/>
      <c r="I211" s="1"/>
    </row>
    <row r="212" spans="2:9" ht="22" customHeight="1">
      <c r="B212" s="1"/>
      <c r="C212" s="1"/>
      <c r="D212" s="1"/>
      <c r="E212" s="1"/>
      <c r="F212" s="1"/>
      <c r="G212" s="1"/>
      <c r="H212" s="1"/>
      <c r="I212" s="1"/>
    </row>
    <row r="213" spans="2:9" ht="22" customHeight="1">
      <c r="B213" s="1"/>
      <c r="C213" s="1"/>
      <c r="D213" s="1"/>
      <c r="E213" s="1"/>
      <c r="F213" s="1"/>
      <c r="G213" s="1"/>
      <c r="H213" s="1"/>
      <c r="I213" s="1"/>
    </row>
    <row r="214" spans="2:9" ht="22" customHeight="1">
      <c r="B214" s="1"/>
      <c r="D214" s="1"/>
      <c r="E214" s="1"/>
      <c r="F214" s="1"/>
      <c r="G214" s="1"/>
      <c r="H214" s="1"/>
      <c r="I214" s="1"/>
    </row>
    <row r="215" spans="2:9" ht="22" customHeight="1">
      <c r="B215" s="1"/>
      <c r="C215" s="1"/>
      <c r="D215" s="1"/>
      <c r="E215" s="1"/>
      <c r="F215" s="1"/>
      <c r="G215" s="1"/>
      <c r="H215" s="1"/>
      <c r="I215" s="1"/>
    </row>
    <row r="216" spans="2:9" ht="22" customHeight="1">
      <c r="B216" s="1"/>
      <c r="C216" s="1"/>
      <c r="D216" s="1"/>
      <c r="E216" s="1"/>
      <c r="F216" s="1"/>
      <c r="G216" s="1"/>
      <c r="H216" s="1"/>
      <c r="I216" s="1"/>
    </row>
    <row r="217" spans="2:9" ht="22" customHeight="1">
      <c r="B217" s="1"/>
      <c r="C217" s="1"/>
      <c r="D217" s="1"/>
      <c r="E217" s="1"/>
      <c r="F217" s="1"/>
      <c r="G217" s="1"/>
      <c r="H217" s="1"/>
      <c r="I217" s="1"/>
    </row>
    <row r="218" spans="2:9" ht="22" customHeight="1">
      <c r="B218" s="1"/>
      <c r="C218" s="1"/>
      <c r="D218" s="1"/>
      <c r="E218" s="1"/>
      <c r="F218" s="1"/>
      <c r="G218" s="1"/>
      <c r="H218" s="1"/>
      <c r="I218" s="1"/>
    </row>
    <row r="219" spans="2:9" ht="22" customHeight="1">
      <c r="B219" s="1"/>
      <c r="C219" s="1"/>
      <c r="D219" s="1"/>
      <c r="E219" s="1"/>
      <c r="F219" s="1"/>
      <c r="G219" s="1"/>
      <c r="H219" s="1"/>
      <c r="I219" s="1"/>
    </row>
    <row r="220" spans="2:9" ht="22" customHeight="1">
      <c r="B220" s="1"/>
      <c r="C220" s="1"/>
      <c r="D220" s="1"/>
      <c r="E220" s="1"/>
      <c r="F220" s="1"/>
      <c r="G220" s="1"/>
      <c r="H220" s="1"/>
      <c r="I220" s="1"/>
    </row>
    <row r="221" spans="2:9" ht="22" customHeight="1">
      <c r="B221" s="1"/>
      <c r="C221" s="1"/>
      <c r="D221" s="1"/>
      <c r="E221" s="1"/>
      <c r="F221" s="1"/>
      <c r="G221" s="1"/>
      <c r="H221" s="1"/>
      <c r="I221" s="1"/>
    </row>
    <row r="222" spans="2:9" ht="22" customHeight="1">
      <c r="C222" s="1"/>
      <c r="D222" s="1"/>
      <c r="E222" s="1"/>
      <c r="F222" s="1"/>
      <c r="G222" s="1"/>
      <c r="H222" s="1"/>
      <c r="I222" s="1"/>
    </row>
    <row r="223" spans="2:9" ht="22" customHeight="1">
      <c r="F223" s="1"/>
      <c r="G223" s="1"/>
      <c r="H223" s="1"/>
      <c r="I223" s="1"/>
    </row>
  </sheetData>
  <hyperlinks>
    <hyperlink ref="L8" r:id="rId1" location="CTV-ADVERTISING-BEST-PRACTICES-TO-OPTIMIZE-CPMS" xr:uid="{174DD73A-7ADA-F74F-B559-6776E15E3E95}"/>
    <hyperlink ref="L9" r:id="rId2" xr:uid="{BCC89865-4990-5C46-B1AB-74C4446508EE}"/>
    <hyperlink ref="L10" r:id="rId3" xr:uid="{37A5FF5D-1534-8A48-9612-9C74876919A0}"/>
  </hyperlinks>
  <pageMargins left="0.75" right="0.75" top="1" bottom="1" header="0.5" footer="0.5"/>
  <pageSetup scale="40" orientation="landscape" horizontalDpi="4294967292" verticalDpi="4294967292"/>
  <headerFooter alignWithMargins="0"/>
  <ignoredErrors>
    <ignoredError sqref="H51:J51" formula="1"/>
  </ignoredErrors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3"/>
  <sheetViews>
    <sheetView tabSelected="1" zoomScale="75" zoomScaleNormal="100" workbookViewId="0">
      <pane xSplit="1" ySplit="4" topLeftCell="B20" activePane="bottomRight" state="frozen"/>
      <selection pane="topRight" activeCell="B1" sqref="B1"/>
      <selection pane="bottomLeft" activeCell="A8" sqref="A8"/>
      <selection pane="bottomRight" activeCell="B29" sqref="B29"/>
    </sheetView>
  </sheetViews>
  <sheetFormatPr baseColWidth="10" defaultColWidth="9.33203125" defaultRowHeight="22" customHeight="1"/>
  <cols>
    <col min="1" max="1" width="64.6640625" style="7" customWidth="1"/>
    <col min="2" max="5" width="12.83203125" style="7" customWidth="1"/>
    <col min="6" max="6" width="13" style="7" customWidth="1"/>
    <col min="7" max="8" width="12.83203125" style="7" customWidth="1"/>
    <col min="9" max="9" width="13" style="7" customWidth="1"/>
    <col min="10" max="10" width="12.83203125" style="7" customWidth="1"/>
    <col min="11" max="11" width="58.1640625" style="7" customWidth="1"/>
    <col min="12" max="12" width="12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6" t="s">
        <v>0</v>
      </c>
      <c r="B1" s="57"/>
      <c r="C1" s="57"/>
      <c r="D1" s="57"/>
      <c r="E1" s="57"/>
      <c r="F1" s="57"/>
      <c r="G1" s="57"/>
      <c r="H1" s="57"/>
    </row>
    <row r="2" spans="1:23" s="1" customFormat="1" ht="22" customHeight="1">
      <c r="A2" s="57" t="s">
        <v>1</v>
      </c>
      <c r="B2" s="57"/>
      <c r="C2" s="57"/>
      <c r="D2" s="57"/>
      <c r="E2" s="57"/>
      <c r="F2" s="57"/>
      <c r="G2" s="59"/>
      <c r="H2" s="59"/>
      <c r="J2" s="11"/>
      <c r="K2" s="11"/>
      <c r="O2" s="11"/>
      <c r="P2" s="11"/>
      <c r="T2" s="11"/>
      <c r="U2" s="21"/>
    </row>
    <row r="3" spans="1:23" s="1" customFormat="1" ht="22" customHeight="1">
      <c r="A3" s="57" t="s">
        <v>2</v>
      </c>
      <c r="B3" s="57"/>
      <c r="C3" s="57"/>
      <c r="D3" s="57"/>
      <c r="E3" s="57"/>
      <c r="F3" s="57"/>
      <c r="G3" s="59"/>
      <c r="H3" s="59"/>
      <c r="J3" s="11"/>
      <c r="K3" s="11"/>
      <c r="O3" s="11"/>
      <c r="P3" s="11"/>
      <c r="T3" s="11"/>
      <c r="U3" s="11"/>
    </row>
    <row r="4" spans="1:23" s="1" customFormat="1" ht="22" customHeight="1">
      <c r="A4" s="94" t="s">
        <v>46</v>
      </c>
      <c r="B4" s="100">
        <v>2022</v>
      </c>
      <c r="C4" s="100">
        <v>2023</v>
      </c>
      <c r="D4" s="100">
        <v>2024</v>
      </c>
      <c r="E4" s="100">
        <v>2025</v>
      </c>
      <c r="F4" s="101">
        <v>2026</v>
      </c>
      <c r="G4" s="101">
        <v>2027</v>
      </c>
      <c r="H4" s="101">
        <v>2028</v>
      </c>
      <c r="I4" s="101">
        <v>2029</v>
      </c>
      <c r="J4" s="9"/>
      <c r="K4" s="9"/>
      <c r="L4" s="9"/>
      <c r="M4" s="9"/>
      <c r="O4" s="9"/>
      <c r="P4" s="9"/>
      <c r="Q4" s="9"/>
      <c r="R4" s="9"/>
      <c r="T4" s="9"/>
      <c r="U4" s="9"/>
      <c r="V4" s="9"/>
      <c r="W4" s="9"/>
    </row>
    <row r="5" spans="1:23" s="1" customFormat="1" ht="22" customHeight="1">
      <c r="A5" s="63" t="s">
        <v>43</v>
      </c>
      <c r="B5" s="102">
        <f>'Revenue Driver'!C25</f>
        <v>21732.156421200001</v>
      </c>
      <c r="C5" s="102">
        <f>'Revenue Driver'!D25</f>
        <v>20084.93176145</v>
      </c>
      <c r="D5" s="102">
        <f>'Revenue Driver'!E25</f>
        <v>18778.744556602953</v>
      </c>
      <c r="E5" s="102">
        <f>'Revenue Driver'!F25</f>
        <v>18612.982294328984</v>
      </c>
      <c r="F5" s="102">
        <f>'Revenue Driver'!G25</f>
        <v>17651.094040856082</v>
      </c>
      <c r="G5" s="102">
        <f>'Revenue Driver'!H25</f>
        <v>16716.035468956314</v>
      </c>
      <c r="H5" s="102">
        <f>'Revenue Driver'!I25</f>
        <v>16040.303213422147</v>
      </c>
      <c r="I5" s="102">
        <f>'Revenue Driver'!J25</f>
        <v>15265.991652432158</v>
      </c>
    </row>
    <row r="6" spans="1:23" s="1" customFormat="1" ht="22" customHeight="1">
      <c r="A6" s="57" t="s">
        <v>44</v>
      </c>
      <c r="B6" s="102">
        <f>'Revenue Driver'!C39</f>
        <v>4904</v>
      </c>
      <c r="C6" s="102">
        <f>'Revenue Driver'!D39</f>
        <v>6736</v>
      </c>
      <c r="D6" s="102">
        <f>'Revenue Driver'!E39</f>
        <v>7632</v>
      </c>
      <c r="E6" s="102">
        <f>'Revenue Driver'!F39</f>
        <v>8494.6666666666661</v>
      </c>
      <c r="F6" s="102">
        <f>'Revenue Driver'!G39</f>
        <v>8664.56</v>
      </c>
      <c r="G6" s="102">
        <f>'Revenue Driver'!H39</f>
        <v>8837.851200000001</v>
      </c>
      <c r="H6" s="102">
        <f>'Revenue Driver'!I39</f>
        <v>9014.6082240000014</v>
      </c>
      <c r="I6" s="102">
        <f>'Revenue Driver'!J39</f>
        <v>9194.9003884800022</v>
      </c>
    </row>
    <row r="7" spans="1:23" s="2" customFormat="1" ht="22" customHeight="1">
      <c r="A7" s="64" t="s">
        <v>45</v>
      </c>
      <c r="B7" s="102">
        <f>'Revenue Driver'!C53</f>
        <v>3053</v>
      </c>
      <c r="C7" s="102">
        <f>'Revenue Driver'!D53</f>
        <v>2957</v>
      </c>
      <c r="D7" s="102">
        <f>'Revenue Driver'!E53</f>
        <v>2965</v>
      </c>
      <c r="E7" s="102">
        <f>'Revenue Driver'!F53</f>
        <v>2900</v>
      </c>
      <c r="F7" s="102">
        <f>'Revenue Driver'!G53</f>
        <v>3672.0230185497471</v>
      </c>
      <c r="G7" s="102">
        <f>'Revenue Driver'!H53</f>
        <v>2635.0843709949413</v>
      </c>
      <c r="H7" s="102">
        <f>'Revenue Driver'!I53</f>
        <v>2420.9856040104246</v>
      </c>
      <c r="I7" s="102">
        <f>'Revenue Driver'!J53</f>
        <v>2381.8434444367313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s="1" customFormat="1" ht="22" customHeight="1">
      <c r="A8" s="92" t="s">
        <v>41</v>
      </c>
      <c r="B8" s="102">
        <f>SUM(B5:B7)</f>
        <v>29689.156421200001</v>
      </c>
      <c r="C8" s="102">
        <f>SUM(C5:C7)</f>
        <v>29777.93176145</v>
      </c>
      <c r="D8" s="102">
        <f>SUM(D5:D7)</f>
        <v>29375.744556602953</v>
      </c>
      <c r="E8" s="102">
        <f t="shared" ref="E8:I8" si="0">SUM(E5:E7)</f>
        <v>30007.648960995648</v>
      </c>
      <c r="F8" s="102">
        <f t="shared" si="0"/>
        <v>29987.677059405829</v>
      </c>
      <c r="G8" s="102">
        <f t="shared" si="0"/>
        <v>28188.971039951255</v>
      </c>
      <c r="H8" s="102">
        <f t="shared" si="0"/>
        <v>27475.89704143257</v>
      </c>
      <c r="I8" s="102">
        <f t="shared" si="0"/>
        <v>26842.735485348891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A9" s="91" t="s">
        <v>50</v>
      </c>
      <c r="B9" s="103">
        <f>(B8/28590)-1</f>
        <v>3.8445485176635152E-2</v>
      </c>
      <c r="C9" s="104">
        <f>(C8/B8)-1</f>
        <v>2.9901604138071747E-3</v>
      </c>
      <c r="D9" s="104">
        <f t="shared" ref="D9:I9" si="1">(D8/C8)-1</f>
        <v>-1.3506216888028222E-2</v>
      </c>
      <c r="E9" s="104">
        <f t="shared" si="1"/>
        <v>2.1511094065211012E-2</v>
      </c>
      <c r="F9" s="104">
        <f t="shared" si="1"/>
        <v>-6.655603581533498E-4</v>
      </c>
      <c r="G9" s="104">
        <f t="shared" si="1"/>
        <v>-5.9981505599494223E-2</v>
      </c>
      <c r="H9" s="104">
        <f t="shared" si="1"/>
        <v>-2.5296205296322039E-2</v>
      </c>
      <c r="I9" s="104">
        <f t="shared" si="1"/>
        <v>-2.3044254210477511E-2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>
      <c r="A11" s="91" t="s">
        <v>55</v>
      </c>
      <c r="B11" s="102">
        <f>'Revenue Driver'!C29</f>
        <v>5154.5441753305886</v>
      </c>
      <c r="C11" s="102">
        <f>'Revenue Driver'!D29</f>
        <v>4509.0629755101136</v>
      </c>
      <c r="D11" s="102">
        <f>'Revenue Driver'!E29</f>
        <v>4097.409998714953</v>
      </c>
      <c r="E11" s="102">
        <f>'Revenue Driver'!F29</f>
        <v>3722.5964588657971</v>
      </c>
      <c r="F11" s="102">
        <f>'Revenue Driver'!G29</f>
        <v>3530.2188081712166</v>
      </c>
      <c r="G11" s="102">
        <f>'Revenue Driver'!H29</f>
        <v>3343.2070937912631</v>
      </c>
      <c r="H11" s="102">
        <f>'Revenue Driver'!I29</f>
        <v>3208.0606426844297</v>
      </c>
      <c r="I11" s="102">
        <f>'Revenue Driver'!J29</f>
        <v>3053.1983304864316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A12" s="57" t="s">
        <v>56</v>
      </c>
      <c r="B12" s="102">
        <f>'Revenue Driver'!C43</f>
        <v>-1885.8971516678655</v>
      </c>
      <c r="C12" s="102">
        <f>'Revenue Driver'!D43</f>
        <v>-1757.5548543315922</v>
      </c>
      <c r="D12" s="102">
        <f>'Revenue Driver'!E43</f>
        <v>-598.84402285481917</v>
      </c>
      <c r="E12" s="102">
        <f>'Revenue Driver'!F43</f>
        <v>228.03087509845494</v>
      </c>
      <c r="F12" s="102">
        <f>'Revenue Driver'!G43</f>
        <v>216.614</v>
      </c>
      <c r="G12" s="102">
        <f>'Revenue Driver'!H43</f>
        <v>220.94628000000003</v>
      </c>
      <c r="H12" s="102">
        <f>'Revenue Driver'!I43</f>
        <v>225.36520560000005</v>
      </c>
      <c r="I12" s="102">
        <f>'Revenue Driver'!J43</f>
        <v>229.87250971200007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>
      <c r="A13" s="57" t="s">
        <v>57</v>
      </c>
      <c r="B13" s="102">
        <f>'Revenue Driver'!C57</f>
        <v>230.35297633727703</v>
      </c>
      <c r="C13" s="102">
        <f>'Revenue Driver'!D57</f>
        <v>-160.50812117852115</v>
      </c>
      <c r="D13" s="102">
        <f>'Revenue Driver'!E57</f>
        <v>-158.56597586013348</v>
      </c>
      <c r="E13" s="102">
        <f>'Revenue Driver'!F57</f>
        <v>-42.121463924165816</v>
      </c>
      <c r="F13" s="102">
        <f>'Revenue Driver'!G57</f>
        <v>73.440460370994941</v>
      </c>
      <c r="G13" s="102">
        <f>'Revenue Driver'!H57</f>
        <v>52.701687419898825</v>
      </c>
      <c r="H13" s="102">
        <f>'Revenue Driver'!I57</f>
        <v>48.419712080208491</v>
      </c>
      <c r="I13" s="102">
        <f>'Revenue Driver'!J57</f>
        <v>47.636868888734625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>
      <c r="A14" s="57" t="s">
        <v>51</v>
      </c>
      <c r="B14" s="102">
        <f>'Revenue Driver'!C59</f>
        <v>-1157</v>
      </c>
      <c r="C14" s="102">
        <f>'Revenue Driver'!D59</f>
        <v>-3042</v>
      </c>
      <c r="D14" s="102">
        <f>'Revenue Driver'!E59</f>
        <v>-8609</v>
      </c>
      <c r="E14" s="102">
        <f>'Revenue Driver'!F59</f>
        <v>-2211.1999999999998</v>
      </c>
      <c r="F14" s="102">
        <f>'Revenue Driver'!G59</f>
        <v>-2800</v>
      </c>
      <c r="G14" s="102">
        <f>'Revenue Driver'!H59</f>
        <v>-2800</v>
      </c>
      <c r="H14" s="102">
        <f>'Revenue Driver'!I59</f>
        <v>-2800</v>
      </c>
      <c r="I14" s="102">
        <f>'Revenue Driver'!J59</f>
        <v>-2800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>
      <c r="A15" s="92" t="s">
        <v>131</v>
      </c>
      <c r="B15" s="102">
        <f t="shared" ref="B15:I15" si="2">SUM(B9:B14)</f>
        <v>2342.0384454851765</v>
      </c>
      <c r="C15" s="102">
        <f t="shared" si="2"/>
        <v>-450.9970098395861</v>
      </c>
      <c r="D15" s="102">
        <f>SUM(D9:D14)</f>
        <v>-5269.0135062168883</v>
      </c>
      <c r="E15" s="102">
        <f t="shared" si="2"/>
        <v>1697.3273811341519</v>
      </c>
      <c r="F15" s="102">
        <f t="shared" si="2"/>
        <v>1020.2726029818532</v>
      </c>
      <c r="G15" s="102">
        <f t="shared" si="2"/>
        <v>816.79507970556278</v>
      </c>
      <c r="H15" s="102">
        <f t="shared" si="2"/>
        <v>681.82026415934206</v>
      </c>
      <c r="I15" s="102">
        <f t="shared" si="2"/>
        <v>530.6846648329556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>
      <c r="A16" s="65" t="s">
        <v>88</v>
      </c>
      <c r="B16" s="102">
        <f>'Revenue Driver'!C64</f>
        <v>2342</v>
      </c>
      <c r="C16" s="102">
        <f>'Revenue Driver'!D64</f>
        <v>-368</v>
      </c>
      <c r="D16" s="102">
        <f>'Revenue Driver'!E64</f>
        <v>1769</v>
      </c>
      <c r="E16" s="102">
        <f>'Revenue Driver'!F64</f>
        <v>1697.3058700400866</v>
      </c>
      <c r="F16" s="102">
        <f>'Revenue Driver'!G64</f>
        <v>1020.2732685422116</v>
      </c>
      <c r="G16" s="102">
        <f>'Revenue Driver'!H64</f>
        <v>816.85506121116214</v>
      </c>
      <c r="H16" s="102">
        <f>'Revenue Driver'!I64</f>
        <v>681.845560364638</v>
      </c>
      <c r="I16" s="102">
        <f>'Revenue Driver'!J64</f>
        <v>530.70770908716622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2" customFormat="1" ht="22" customHeight="1"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4" customFormat="1" ht="22" customHeight="1">
      <c r="A18" s="57" t="s">
        <v>61</v>
      </c>
      <c r="B18" s="57">
        <v>108</v>
      </c>
      <c r="C18" s="57">
        <v>137</v>
      </c>
      <c r="D18" s="57">
        <v>151</v>
      </c>
      <c r="E18" s="57">
        <f>AVERAGE(B18:D18)</f>
        <v>132</v>
      </c>
      <c r="F18" s="57">
        <f>E18</f>
        <v>132</v>
      </c>
      <c r="G18" s="57">
        <f t="shared" ref="G18:I18" si="3">F18</f>
        <v>132</v>
      </c>
      <c r="H18" s="57">
        <f t="shared" si="3"/>
        <v>132</v>
      </c>
      <c r="I18" s="57">
        <f t="shared" si="3"/>
        <v>132</v>
      </c>
    </row>
    <row r="19" spans="1:25" s="4" customFormat="1" ht="22" customHeight="1">
      <c r="A19" s="91" t="s">
        <v>47</v>
      </c>
      <c r="B19" s="102">
        <v>931</v>
      </c>
      <c r="C19" s="105">
        <v>920</v>
      </c>
      <c r="D19" s="106">
        <v>860</v>
      </c>
      <c r="E19" s="130">
        <f>AVERAGE(B19:D19)</f>
        <v>903.66666666666663</v>
      </c>
      <c r="F19" s="102">
        <f>$E$19</f>
        <v>903.66666666666663</v>
      </c>
      <c r="G19" s="102">
        <f t="shared" ref="G19:I19" si="4">$E$19</f>
        <v>903.66666666666663</v>
      </c>
      <c r="H19" s="102">
        <f t="shared" si="4"/>
        <v>903.66666666666663</v>
      </c>
      <c r="I19" s="102">
        <f t="shared" si="4"/>
        <v>903.66666666666663</v>
      </c>
    </row>
    <row r="20" spans="1:25" s="2" customFormat="1" ht="22" customHeight="1">
      <c r="A20" s="91" t="s">
        <v>48</v>
      </c>
      <c r="B20" s="102">
        <f>B16+B18-B19+(-9-120-124)</f>
        <v>1266</v>
      </c>
      <c r="C20" s="102">
        <f>C16+C18-C19+(168+29-216)</f>
        <v>-1170</v>
      </c>
      <c r="D20" s="102">
        <f>D16+D18-D19+(-17-182)</f>
        <v>861</v>
      </c>
      <c r="E20" s="102">
        <f>E16+E18-E19</f>
        <v>925.63920337341995</v>
      </c>
      <c r="F20" s="102">
        <f>F16+F18-F19</f>
        <v>248.60660187554492</v>
      </c>
      <c r="G20" s="102">
        <f>G16+G18-G19</f>
        <v>45.188394544495509</v>
      </c>
      <c r="H20" s="102">
        <f>H16+H18-H19</f>
        <v>-89.821106302028625</v>
      </c>
      <c r="I20" s="102">
        <f>I16+I18-I19</f>
        <v>-240.95895757950041</v>
      </c>
    </row>
    <row r="21" spans="1:25" s="2" customFormat="1" ht="22" customHeight="1">
      <c r="A21" s="91" t="s">
        <v>62</v>
      </c>
      <c r="B21" s="102">
        <v>-227</v>
      </c>
      <c r="C21" s="102">
        <v>361</v>
      </c>
      <c r="D21" s="102">
        <v>305</v>
      </c>
      <c r="E21" s="102">
        <f>AVERAGE(B21:D21)</f>
        <v>146.33333333333334</v>
      </c>
      <c r="F21" s="102">
        <f>AVERAGE(B21:E21)</f>
        <v>146.33333333333334</v>
      </c>
      <c r="G21" s="102">
        <f>AVERAGE(B21:F21)</f>
        <v>146.33333333333334</v>
      </c>
      <c r="H21" s="102">
        <f>AVERAGE(B21:G21)</f>
        <v>146.33333333333334</v>
      </c>
      <c r="I21" s="102">
        <f>AVERAGE(B21:H21)</f>
        <v>146.33333333333334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5" s="2" customFormat="1" ht="22" customHeight="1">
      <c r="A22" s="79" t="s">
        <v>63</v>
      </c>
      <c r="B22" s="102">
        <v>-204</v>
      </c>
      <c r="C22" s="102">
        <v>-360</v>
      </c>
      <c r="D22" s="102">
        <v>-291</v>
      </c>
      <c r="E22" s="79">
        <f>AVERAGE(B22:D22)</f>
        <v>-285</v>
      </c>
      <c r="F22" s="79">
        <f>AVERAGE(B22:E22)</f>
        <v>-285</v>
      </c>
      <c r="G22" s="79">
        <f>AVERAGE(B22:F22)</f>
        <v>-285</v>
      </c>
      <c r="H22" s="79">
        <f>AVERAGE(B22:G22)</f>
        <v>-285</v>
      </c>
      <c r="I22" s="79">
        <f>AVERAGE(B22:H22)</f>
        <v>-285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A23" s="91" t="s">
        <v>64</v>
      </c>
      <c r="B23" s="107">
        <v>379</v>
      </c>
      <c r="C23" s="107">
        <v>676</v>
      </c>
      <c r="D23" s="102">
        <v>14</v>
      </c>
      <c r="E23" s="108">
        <v>0</v>
      </c>
      <c r="F23" s="108">
        <v>0</v>
      </c>
      <c r="G23" s="108">
        <v>0</v>
      </c>
      <c r="H23" s="108">
        <v>0</v>
      </c>
      <c r="I23" s="108">
        <v>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5" customFormat="1" ht="22" customHeight="1">
      <c r="A24" s="77" t="s">
        <v>65</v>
      </c>
      <c r="B24" s="102">
        <v>-110</v>
      </c>
      <c r="C24" s="102">
        <v>-32</v>
      </c>
      <c r="D24" s="102">
        <v>-41</v>
      </c>
      <c r="E24" s="108">
        <v>0</v>
      </c>
      <c r="F24" s="108">
        <v>0</v>
      </c>
      <c r="G24" s="108">
        <v>0</v>
      </c>
      <c r="H24" s="108">
        <v>0</v>
      </c>
      <c r="I24" s="108">
        <v>0</v>
      </c>
      <c r="J24" s="14"/>
    </row>
    <row r="25" spans="1:25" s="13" customFormat="1" ht="22" customHeight="1">
      <c r="A25" s="93" t="s">
        <v>49</v>
      </c>
      <c r="B25" s="102">
        <f>B20+B21+B22+B23+B24</f>
        <v>1104</v>
      </c>
      <c r="C25" s="102">
        <f>C20+C21+C22+C23+C24</f>
        <v>-525</v>
      </c>
      <c r="D25" s="102">
        <f>D20+D21+D22+D23+D24</f>
        <v>848</v>
      </c>
      <c r="E25" s="102">
        <f t="shared" ref="E25:H25" si="5">E20+E21+E22+E23+E24</f>
        <v>786.97253670675332</v>
      </c>
      <c r="F25" s="102">
        <f t="shared" si="5"/>
        <v>109.9399352088783</v>
      </c>
      <c r="G25" s="102">
        <f t="shared" si="5"/>
        <v>-93.478272122171148</v>
      </c>
      <c r="H25" s="102">
        <f t="shared" si="5"/>
        <v>-228.48777296869528</v>
      </c>
      <c r="I25" s="102">
        <f>I20+I21+I22+I23+I24</f>
        <v>-379.62562424616704</v>
      </c>
    </row>
    <row r="26" spans="1:25" s="1" customFormat="1" ht="22" customHeight="1">
      <c r="A26" s="77"/>
      <c r="B26" s="77"/>
      <c r="C26" s="77"/>
      <c r="D26" s="77"/>
      <c r="E26" s="77"/>
      <c r="F26" s="77"/>
      <c r="G26" s="77"/>
      <c r="H26" s="77"/>
      <c r="I26" s="13"/>
    </row>
    <row r="27" spans="1:25" s="4" customFormat="1" ht="22" customHeight="1">
      <c r="A27" s="69" t="s">
        <v>53</v>
      </c>
      <c r="B27" s="102">
        <v>405</v>
      </c>
      <c r="C27" s="102">
        <v>418</v>
      </c>
      <c r="D27" s="102">
        <v>392</v>
      </c>
      <c r="E27" s="102">
        <f>+D27*(1+E9)</f>
        <v>400.43234887356272</v>
      </c>
      <c r="F27" s="102">
        <f>+E27*(1+F9)</f>
        <v>400.16583697603022</v>
      </c>
      <c r="G27" s="102">
        <f>+F27*(1+G9)</f>
        <v>376.16328758472616</v>
      </c>
      <c r="H27" s="102">
        <f>+G27*(1+H9)</f>
        <v>366.64778383704351</v>
      </c>
      <c r="I27" s="102">
        <f>+H27*(1+I9)</f>
        <v>358.19865910059445</v>
      </c>
      <c r="J27" s="1"/>
      <c r="K27" s="1"/>
      <c r="L27" s="1"/>
      <c r="M27" s="1"/>
      <c r="N27" s="1"/>
      <c r="O27" s="5"/>
      <c r="P27" s="5"/>
      <c r="Q27" s="5"/>
      <c r="R27" s="5"/>
      <c r="S27" s="2"/>
    </row>
    <row r="28" spans="1:25" s="5" customFormat="1" ht="22" customHeight="1">
      <c r="A28" s="69" t="s">
        <v>103</v>
      </c>
      <c r="B28" s="102">
        <f>B27+B16</f>
        <v>2747</v>
      </c>
      <c r="C28" s="102">
        <f t="shared" ref="C28:I28" si="6">C27+C16</f>
        <v>50</v>
      </c>
      <c r="D28" s="102">
        <f>D27+D16</f>
        <v>2161</v>
      </c>
      <c r="E28" s="102">
        <f>E27+E16</f>
        <v>2097.7382189136492</v>
      </c>
      <c r="F28" s="102">
        <f t="shared" si="6"/>
        <v>1420.4391055182418</v>
      </c>
      <c r="G28" s="102">
        <f t="shared" si="6"/>
        <v>1193.0183487958884</v>
      </c>
      <c r="H28" s="102">
        <f t="shared" si="6"/>
        <v>1048.4933442016816</v>
      </c>
      <c r="I28" s="102">
        <f t="shared" si="6"/>
        <v>888.90636818776068</v>
      </c>
      <c r="J28" s="14"/>
      <c r="K28" s="14"/>
      <c r="L28" s="14"/>
      <c r="M28" s="14"/>
      <c r="N28" s="14"/>
      <c r="O28" s="14"/>
      <c r="P28" s="14"/>
      <c r="Q28" s="14"/>
      <c r="R28" s="14"/>
      <c r="S28" s="2"/>
      <c r="Y28" s="39"/>
    </row>
    <row r="29" spans="1:25" s="5" customFormat="1" ht="22" customHeight="1">
      <c r="A29" s="69" t="s">
        <v>54</v>
      </c>
      <c r="B29" s="110">
        <f>B28/B8</f>
        <v>9.2525363840868929E-2</v>
      </c>
      <c r="C29" s="110">
        <f t="shared" ref="C29:I29" si="7">C28/C8</f>
        <v>1.6790957948506398E-3</v>
      </c>
      <c r="D29" s="110">
        <f t="shared" si="7"/>
        <v>7.3564092846601897E-2</v>
      </c>
      <c r="E29" s="110">
        <f t="shared" si="7"/>
        <v>6.9906783488447158E-2</v>
      </c>
      <c r="F29" s="110">
        <f t="shared" si="7"/>
        <v>4.73674270502627E-2</v>
      </c>
      <c r="G29" s="110">
        <f t="shared" si="7"/>
        <v>4.2322167315190923E-2</v>
      </c>
      <c r="H29" s="110">
        <f t="shared" si="7"/>
        <v>3.816047725832554E-2</v>
      </c>
      <c r="I29" s="110">
        <f t="shared" si="7"/>
        <v>3.3115342088474449E-2</v>
      </c>
      <c r="J29" s="23"/>
      <c r="K29" s="23"/>
      <c r="L29" s="23"/>
      <c r="M29" s="23"/>
      <c r="N29" s="23"/>
      <c r="O29" s="23"/>
      <c r="P29" s="23"/>
      <c r="Q29" s="23"/>
      <c r="R29" s="23"/>
      <c r="S29" s="2"/>
      <c r="Y29" s="41"/>
    </row>
    <row r="30" spans="1:25" s="4" customFormat="1" ht="22" customHeight="1">
      <c r="A30" s="78" t="s">
        <v>66</v>
      </c>
      <c r="B30" s="78">
        <f>B49*B46</f>
        <v>904.80437289000008</v>
      </c>
      <c r="C30" s="78">
        <f t="shared" ref="C30:I30" si="8">C49*C46</f>
        <v>833.14817289000007</v>
      </c>
      <c r="D30" s="78">
        <f t="shared" si="8"/>
        <v>818.56877288999999</v>
      </c>
      <c r="E30" s="78">
        <f t="shared" si="8"/>
        <v>836.50867289000007</v>
      </c>
      <c r="F30" s="78">
        <f t="shared" si="8"/>
        <v>814.12257289000001</v>
      </c>
      <c r="G30" s="78">
        <f t="shared" si="8"/>
        <v>783.92977289000009</v>
      </c>
      <c r="H30" s="78">
        <f t="shared" si="8"/>
        <v>732.22977289000005</v>
      </c>
      <c r="I30" s="78">
        <f t="shared" si="8"/>
        <v>706.37977289000003</v>
      </c>
      <c r="J30" s="23"/>
      <c r="K30" s="23"/>
      <c r="L30" s="23"/>
      <c r="M30" s="23"/>
      <c r="N30" s="23"/>
      <c r="O30" s="23"/>
      <c r="P30" s="23"/>
      <c r="Q30" s="23"/>
      <c r="R30" s="23"/>
      <c r="S30" s="5"/>
      <c r="W30" s="5"/>
    </row>
    <row r="31" spans="1:25" s="1" customFormat="1" ht="22" customHeight="1">
      <c r="A31" s="69" t="s">
        <v>67</v>
      </c>
      <c r="B31" s="79">
        <v>358</v>
      </c>
      <c r="C31" s="79">
        <v>328</v>
      </c>
      <c r="D31" s="79">
        <v>263</v>
      </c>
      <c r="E31" s="113">
        <f>((46+134)/9)*12</f>
        <v>240</v>
      </c>
      <c r="F31" s="79">
        <f>$E$31</f>
        <v>240</v>
      </c>
      <c r="G31" s="79">
        <f>$E$31</f>
        <v>240</v>
      </c>
      <c r="H31" s="79">
        <f>$E$31</f>
        <v>240</v>
      </c>
      <c r="I31" s="23">
        <f>E31</f>
        <v>240</v>
      </c>
      <c r="J31" s="23"/>
      <c r="K31" s="23"/>
      <c r="L31" s="23"/>
      <c r="M31" s="23"/>
      <c r="N31" s="23"/>
      <c r="O31" s="23"/>
      <c r="P31" s="23"/>
      <c r="Q31" s="23"/>
      <c r="R31" s="23"/>
      <c r="S31" s="13"/>
      <c r="W31" s="5"/>
    </row>
    <row r="32" spans="1:25" s="1" customFormat="1" ht="22" customHeight="1">
      <c r="A32" s="57" t="s">
        <v>68</v>
      </c>
      <c r="B32" s="57">
        <f>B19</f>
        <v>931</v>
      </c>
      <c r="C32" s="57">
        <f>C19</f>
        <v>920</v>
      </c>
      <c r="D32" s="57">
        <f>D19</f>
        <v>860</v>
      </c>
      <c r="E32" s="57">
        <f>E19</f>
        <v>903.66666666666663</v>
      </c>
      <c r="F32" s="57">
        <f t="shared" ref="F32:G32" si="9">F19</f>
        <v>903.66666666666663</v>
      </c>
      <c r="G32" s="57">
        <f t="shared" si="9"/>
        <v>903.66666666666663</v>
      </c>
      <c r="H32" s="57">
        <f>H19</f>
        <v>903.66666666666663</v>
      </c>
      <c r="I32" s="57">
        <f>I19</f>
        <v>903.66666666666663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5" s="1" customFormat="1" ht="22" customHeight="1">
      <c r="A33" s="57" t="s">
        <v>69</v>
      </c>
      <c r="B33" s="57">
        <f t="shared" ref="B33:I33" si="10">B28-B30-B31-B32</f>
        <v>553.1956271099998</v>
      </c>
      <c r="C33" s="57">
        <f t="shared" si="10"/>
        <v>-2031.1481728900001</v>
      </c>
      <c r="D33" s="57">
        <f t="shared" si="10"/>
        <v>219.43122711000001</v>
      </c>
      <c r="E33" s="57">
        <f t="shared" si="10"/>
        <v>117.56287935698253</v>
      </c>
      <c r="F33" s="57">
        <f t="shared" si="10"/>
        <v>-537.35013403842481</v>
      </c>
      <c r="G33" s="57">
        <f t="shared" si="10"/>
        <v>-734.57809076077831</v>
      </c>
      <c r="H33" s="57">
        <f t="shared" si="10"/>
        <v>-827.40309535498511</v>
      </c>
      <c r="I33" s="57">
        <f t="shared" si="10"/>
        <v>-961.14007136890598</v>
      </c>
      <c r="J33" s="23"/>
      <c r="K33" s="23"/>
      <c r="L33" s="23"/>
      <c r="M33" s="23"/>
      <c r="N33" s="23"/>
      <c r="O33" s="23"/>
      <c r="P33" s="23"/>
      <c r="Q33" s="23"/>
      <c r="R33" s="23"/>
    </row>
    <row r="34" spans="1:25" s="4" customFormat="1" ht="22" customHeight="1">
      <c r="A34" s="1"/>
      <c r="B34" s="1"/>
      <c r="C34" s="1"/>
      <c r="D34" s="1"/>
      <c r="E34" s="1"/>
      <c r="F34" s="1"/>
      <c r="G34" s="1"/>
      <c r="H34" s="1"/>
      <c r="I34" s="23"/>
      <c r="J34" s="30"/>
      <c r="K34" s="30"/>
      <c r="L34" s="30"/>
      <c r="M34" s="30"/>
      <c r="N34" s="30"/>
      <c r="O34" s="30"/>
      <c r="P34" s="30"/>
      <c r="Q34" s="30"/>
      <c r="R34" s="30"/>
      <c r="S34" s="15"/>
      <c r="T34" s="30"/>
      <c r="U34" s="30"/>
      <c r="V34" s="30"/>
    </row>
    <row r="35" spans="1:25" s="1" customFormat="1" ht="22" customHeight="1">
      <c r="A35" s="69" t="s">
        <v>77</v>
      </c>
      <c r="B35" s="102">
        <v>744</v>
      </c>
      <c r="C35" s="102">
        <v>630</v>
      </c>
      <c r="D35" s="102">
        <v>559</v>
      </c>
      <c r="E35" s="102">
        <v>333</v>
      </c>
      <c r="F35" s="102">
        <v>265</v>
      </c>
      <c r="G35" s="102">
        <v>215</v>
      </c>
      <c r="H35" s="102">
        <v>196</v>
      </c>
      <c r="I35" s="30">
        <v>152</v>
      </c>
      <c r="J35" s="31"/>
      <c r="K35" s="31"/>
      <c r="L35" s="31"/>
      <c r="M35" s="31"/>
      <c r="N35" s="25"/>
      <c r="O35" s="22"/>
      <c r="P35" s="22"/>
      <c r="Q35" s="22"/>
      <c r="R35" s="22"/>
      <c r="S35" s="22"/>
      <c r="T35" s="22"/>
      <c r="U35" s="22"/>
      <c r="V35" s="22"/>
      <c r="W35" s="58"/>
    </row>
    <row r="36" spans="1:25" s="5" customFormat="1" ht="22" customHeight="1" thickBot="1">
      <c r="A36" s="1"/>
      <c r="B36" s="79"/>
      <c r="C36" s="79"/>
      <c r="D36" s="79"/>
      <c r="E36" s="79"/>
      <c r="F36" s="79"/>
      <c r="G36" s="79"/>
      <c r="H36" s="79"/>
      <c r="I36" s="25"/>
      <c r="J36" s="23"/>
      <c r="K36" s="23"/>
      <c r="L36" s="23"/>
      <c r="M36" s="23"/>
      <c r="N36" s="23"/>
      <c r="O36" s="23"/>
      <c r="P36" s="23"/>
      <c r="Q36" s="23"/>
      <c r="R36" s="23"/>
    </row>
    <row r="37" spans="1:25" s="5" customFormat="1" ht="22" customHeight="1">
      <c r="A37" s="169" t="s">
        <v>70</v>
      </c>
      <c r="B37" s="170"/>
      <c r="C37" s="170"/>
      <c r="D37" s="170"/>
      <c r="E37" s="170"/>
      <c r="F37" s="171"/>
      <c r="G37" s="171"/>
      <c r="H37" s="171"/>
      <c r="I37" s="172"/>
      <c r="J37" s="23"/>
      <c r="K37" s="69" t="s">
        <v>107</v>
      </c>
      <c r="L37" s="109"/>
      <c r="M37" s="109"/>
      <c r="N37" s="109"/>
      <c r="O37" s="109"/>
      <c r="P37" s="109"/>
      <c r="Q37" s="109"/>
      <c r="R37" s="109"/>
      <c r="S37" s="79"/>
      <c r="T37" s="78"/>
      <c r="U37" s="78"/>
      <c r="V37" s="78"/>
      <c r="W37" s="78"/>
      <c r="X37" s="78"/>
      <c r="Y37" s="78"/>
    </row>
    <row r="38" spans="1:25" s="4" customFormat="1" ht="22" customHeight="1">
      <c r="A38" s="153" t="s">
        <v>71</v>
      </c>
      <c r="B38" s="154">
        <f>B16/B19</f>
        <v>2.5155746509129968</v>
      </c>
      <c r="C38" s="154">
        <f t="shared" ref="C38:I38" si="11">C16/C19</f>
        <v>-0.4</v>
      </c>
      <c r="D38" s="154">
        <f t="shared" si="11"/>
        <v>2.0569767441860467</v>
      </c>
      <c r="E38" s="154">
        <f t="shared" si="11"/>
        <v>1.8782433087865216</v>
      </c>
      <c r="F38" s="154">
        <f t="shared" si="11"/>
        <v>1.1290371839271984</v>
      </c>
      <c r="G38" s="154">
        <f t="shared" si="11"/>
        <v>0.90393404044023851</v>
      </c>
      <c r="H38" s="154">
        <f t="shared" si="11"/>
        <v>0.75453215827883224</v>
      </c>
      <c r="I38" s="155">
        <f t="shared" si="11"/>
        <v>0.58728259950627026</v>
      </c>
      <c r="J38" s="23"/>
      <c r="K38" s="69"/>
      <c r="L38" s="23"/>
      <c r="M38" s="23"/>
      <c r="N38" s="23"/>
      <c r="O38" s="23"/>
      <c r="P38" s="23"/>
      <c r="Q38" s="23"/>
      <c r="R38" s="23"/>
      <c r="S38" s="1"/>
    </row>
    <row r="39" spans="1:25" s="4" customFormat="1" ht="22" customHeight="1">
      <c r="A39" s="153" t="s">
        <v>72</v>
      </c>
      <c r="B39" s="137">
        <f>B28/B19</f>
        <v>2.9505907626208376</v>
      </c>
      <c r="C39" s="137">
        <f t="shared" ref="C39:I39" si="12">C28/C19</f>
        <v>5.434782608695652E-2</v>
      </c>
      <c r="D39" s="137">
        <f t="shared" si="12"/>
        <v>2.5127906976744185</v>
      </c>
      <c r="E39" s="137">
        <f t="shared" si="12"/>
        <v>2.3213628390781809</v>
      </c>
      <c r="F39" s="137">
        <f t="shared" si="12"/>
        <v>1.5718617914255719</v>
      </c>
      <c r="G39" s="137">
        <f t="shared" si="12"/>
        <v>1.3201973612643547</v>
      </c>
      <c r="H39" s="137">
        <f t="shared" si="12"/>
        <v>1.1602655966820528</v>
      </c>
      <c r="I39" s="156">
        <f t="shared" si="12"/>
        <v>0.98366621341323579</v>
      </c>
      <c r="J39" s="14"/>
      <c r="K39" s="69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Y39" s="5"/>
    </row>
    <row r="40" spans="1:25" s="5" customFormat="1" ht="22" customHeight="1">
      <c r="A40" s="157" t="s">
        <v>73</v>
      </c>
      <c r="B40" s="158">
        <f>(B28-B31)/B19</f>
        <v>2.5660580021482278</v>
      </c>
      <c r="C40" s="158">
        <f t="shared" ref="C40:I40" si="13">(C28-C31)/C19</f>
        <v>-0.30217391304347824</v>
      </c>
      <c r="D40" s="158">
        <f t="shared" si="13"/>
        <v>2.2069767441860466</v>
      </c>
      <c r="E40" s="158">
        <f t="shared" si="13"/>
        <v>2.0557781839693647</v>
      </c>
      <c r="F40" s="158">
        <f t="shared" si="13"/>
        <v>1.306277136316756</v>
      </c>
      <c r="G40" s="158">
        <f t="shared" si="13"/>
        <v>1.0546127061555386</v>
      </c>
      <c r="H40" s="158">
        <f t="shared" si="13"/>
        <v>0.89468094157323674</v>
      </c>
      <c r="I40" s="159">
        <f t="shared" si="13"/>
        <v>0.71808155830441978</v>
      </c>
      <c r="J40" s="13"/>
      <c r="K40" s="69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5" s="5" customFormat="1" ht="22" customHeight="1">
      <c r="A41" s="160" t="s">
        <v>74</v>
      </c>
      <c r="B41" s="22"/>
      <c r="C41" s="138"/>
      <c r="D41" s="137">
        <f>D49/(D28+D35)</f>
        <v>5.8209748897058819</v>
      </c>
      <c r="E41" s="137">
        <f t="shared" ref="E41:I41" si="14">E49/(E28+E35)</f>
        <v>6.6564353059916188</v>
      </c>
      <c r="F41" s="137">
        <f t="shared" si="14"/>
        <v>9.3429965214661781</v>
      </c>
      <c r="G41" s="137">
        <f t="shared" si="14"/>
        <v>10.769072514550087</v>
      </c>
      <c r="H41" s="137">
        <f t="shared" si="14"/>
        <v>11.380576494031251</v>
      </c>
      <c r="I41" s="156">
        <f t="shared" si="14"/>
        <v>13.126110203156557</v>
      </c>
      <c r="J41" s="32"/>
      <c r="K41" s="69"/>
      <c r="L41" s="19"/>
      <c r="M41" s="19"/>
      <c r="N41" s="19"/>
      <c r="O41" s="32"/>
      <c r="P41" s="32"/>
      <c r="Q41" s="32"/>
      <c r="R41" s="32"/>
      <c r="S41" s="4"/>
    </row>
    <row r="42" spans="1:25" s="4" customFormat="1" ht="22" customHeight="1">
      <c r="A42" s="157" t="s">
        <v>75</v>
      </c>
      <c r="B42" s="161"/>
      <c r="C42" s="161"/>
      <c r="D42" s="154">
        <f>D55/(D28+D35)</f>
        <v>6.8136219485294118</v>
      </c>
      <c r="E42" s="154">
        <f t="shared" ref="E42:I42" si="15">E55/(E28+E35)</f>
        <v>7.7672089709594125</v>
      </c>
      <c r="F42" s="154">
        <f t="shared" si="15"/>
        <v>10.944952944074398</v>
      </c>
      <c r="G42" s="154">
        <f t="shared" si="15"/>
        <v>12.686661161252731</v>
      </c>
      <c r="H42" s="154">
        <f t="shared" si="15"/>
        <v>13.550134099606071</v>
      </c>
      <c r="I42" s="155">
        <f t="shared" si="15"/>
        <v>15.720003450923651</v>
      </c>
      <c r="J42" s="32"/>
      <c r="K42" s="69"/>
      <c r="L42" s="19"/>
      <c r="M42" s="19"/>
      <c r="N42" s="19"/>
      <c r="O42" s="32"/>
      <c r="P42" s="32"/>
      <c r="Q42" s="32"/>
      <c r="R42" s="32"/>
      <c r="S42" s="1"/>
    </row>
    <row r="43" spans="1:25" s="1" customFormat="1" ht="22" customHeight="1" thickBot="1">
      <c r="A43" s="162" t="s">
        <v>76</v>
      </c>
      <c r="B43" s="163"/>
      <c r="C43" s="163"/>
      <c r="D43" s="164">
        <f>D33/D55</f>
        <v>1.1839994333475042E-2</v>
      </c>
      <c r="E43" s="164">
        <f t="shared" ref="E43:I43" si="16">E33/E55</f>
        <v>6.2268303723438711E-3</v>
      </c>
      <c r="F43" s="164">
        <f t="shared" si="16"/>
        <v>-2.9129323361652682E-2</v>
      </c>
      <c r="G43" s="164">
        <f t="shared" si="16"/>
        <v>-4.1122765756803938E-2</v>
      </c>
      <c r="H43" s="215">
        <f t="shared" si="16"/>
        <v>-4.9066035618866369E-2</v>
      </c>
      <c r="I43" s="216">
        <f t="shared" si="16"/>
        <v>-5.87384363864661E-2</v>
      </c>
      <c r="J43" s="32"/>
      <c r="K43" s="69"/>
      <c r="L43" s="19"/>
      <c r="M43" s="19"/>
      <c r="N43" s="19"/>
      <c r="O43" s="32"/>
      <c r="P43" s="32"/>
      <c r="Q43" s="32"/>
      <c r="R43" s="32"/>
      <c r="S43" s="5"/>
    </row>
    <row r="44" spans="1:25" s="5" customFormat="1" ht="22" customHeight="1">
      <c r="A44" s="1"/>
      <c r="B44" s="1"/>
      <c r="C44" s="1"/>
      <c r="D44" s="1"/>
      <c r="E44" s="1"/>
      <c r="F44" s="1"/>
      <c r="G44" s="1"/>
      <c r="H44" s="1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8"/>
      <c r="T44" s="20"/>
      <c r="U44" s="20"/>
      <c r="V44" s="20"/>
      <c r="W44" s="20"/>
    </row>
    <row r="45" spans="1:25" s="6" customFormat="1" ht="22" customHeight="1">
      <c r="A45" s="112" t="s">
        <v>82</v>
      </c>
      <c r="B45" s="78"/>
      <c r="C45" s="78"/>
      <c r="D45" s="78"/>
      <c r="E45" s="78"/>
      <c r="F45" s="78"/>
      <c r="G45" s="78"/>
      <c r="H45" s="78"/>
      <c r="I45" s="118"/>
      <c r="J45" s="33"/>
      <c r="K45" s="33"/>
      <c r="L45" s="33"/>
      <c r="M45" s="33"/>
      <c r="N45" s="33"/>
      <c r="O45" s="33"/>
      <c r="P45" s="33"/>
      <c r="Q45" s="33"/>
      <c r="R45" s="33"/>
      <c r="S45" s="4"/>
      <c r="T45" s="32"/>
      <c r="U45" s="32"/>
    </row>
    <row r="46" spans="1:25" s="6" customFormat="1" ht="22" customHeight="1">
      <c r="A46" s="89" t="s">
        <v>78</v>
      </c>
      <c r="B46" s="117">
        <v>5.1700000000000003E-2</v>
      </c>
      <c r="C46" s="117">
        <v>5.1700000000000003E-2</v>
      </c>
      <c r="D46" s="117">
        <v>5.1700000000000003E-2</v>
      </c>
      <c r="E46" s="117">
        <v>5.1700000000000003E-2</v>
      </c>
      <c r="F46" s="117">
        <v>5.1700000000000003E-2</v>
      </c>
      <c r="G46" s="117">
        <v>5.1700000000000003E-2</v>
      </c>
      <c r="H46" s="117">
        <v>5.1700000000000003E-2</v>
      </c>
      <c r="I46" s="117">
        <v>5.1700000000000003E-2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5" s="6" customFormat="1" ht="22" customHeight="1">
      <c r="A47" s="89" t="s">
        <v>79</v>
      </c>
      <c r="B47" s="102">
        <f>15781+1720</f>
        <v>17501</v>
      </c>
      <c r="C47" s="116">
        <f>14601+1514-0</f>
        <v>16115</v>
      </c>
      <c r="D47" s="116">
        <f>14501+1332-0</f>
        <v>15833</v>
      </c>
      <c r="E47" s="116">
        <f>14501+1332-0</f>
        <v>15833</v>
      </c>
      <c r="F47" s="116">
        <f>14501+1332-433</f>
        <v>15400</v>
      </c>
      <c r="G47" s="116">
        <f>F47-584</f>
        <v>14816</v>
      </c>
      <c r="H47" s="116">
        <f>G47-1000</f>
        <v>13816</v>
      </c>
      <c r="I47" s="116">
        <f>H47-500</f>
        <v>13316</v>
      </c>
      <c r="J47" s="20"/>
      <c r="K47" s="20"/>
      <c r="L47" s="20"/>
      <c r="M47" s="20"/>
      <c r="N47" s="20"/>
      <c r="O47" s="20"/>
      <c r="P47" s="20"/>
      <c r="Q47" s="20"/>
      <c r="R47" s="20"/>
      <c r="S47" s="8"/>
      <c r="T47" s="20"/>
      <c r="U47" s="20"/>
      <c r="V47" s="20"/>
      <c r="W47" s="20"/>
    </row>
    <row r="48" spans="1:25" s="6" customFormat="1" ht="22" customHeight="1">
      <c r="A48" s="78" t="s">
        <v>80</v>
      </c>
      <c r="B48" s="118">
        <v>0</v>
      </c>
      <c r="C48" s="118">
        <v>0</v>
      </c>
      <c r="D48" s="118">
        <v>0</v>
      </c>
      <c r="E48" s="118">
        <v>347</v>
      </c>
      <c r="F48" s="131">
        <f>$E$48</f>
        <v>347</v>
      </c>
      <c r="G48" s="118">
        <f>$F$48</f>
        <v>347</v>
      </c>
      <c r="H48" s="118">
        <f>$F$48</f>
        <v>347</v>
      </c>
      <c r="I48" s="118">
        <f>$F$48</f>
        <v>347</v>
      </c>
      <c r="J48" s="5"/>
      <c r="K48" s="24"/>
      <c r="L48" s="24"/>
      <c r="M48" s="24"/>
      <c r="N48" s="24"/>
      <c r="S48" s="5"/>
    </row>
    <row r="49" spans="1:24" s="6" customFormat="1" ht="22" customHeight="1">
      <c r="A49" s="89" t="s">
        <v>81</v>
      </c>
      <c r="B49" s="120">
        <f>SUM(B46:B48)</f>
        <v>17501.0517</v>
      </c>
      <c r="C49" s="120">
        <f t="shared" ref="C49:I49" si="17">SUM(C46:C48)</f>
        <v>16115.0517</v>
      </c>
      <c r="D49" s="120">
        <f t="shared" si="17"/>
        <v>15833.0517</v>
      </c>
      <c r="E49" s="120">
        <f t="shared" si="17"/>
        <v>16180.0517</v>
      </c>
      <c r="F49" s="120">
        <f>SUM(F46:F48)</f>
        <v>15747.0517</v>
      </c>
      <c r="G49" s="120">
        <f t="shared" si="17"/>
        <v>15163.0517</v>
      </c>
      <c r="H49" s="120">
        <f t="shared" si="17"/>
        <v>14163.0517</v>
      </c>
      <c r="I49" s="120">
        <f t="shared" si="17"/>
        <v>13663.0517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4" s="6" customFormat="1" ht="22" customHeight="1">
      <c r="A50" s="89" t="s">
        <v>84</v>
      </c>
      <c r="B50" s="89"/>
      <c r="C50" s="102"/>
      <c r="D50" s="102">
        <v>1173</v>
      </c>
      <c r="E50" s="102"/>
      <c r="F50" s="102"/>
      <c r="G50" s="102"/>
      <c r="H50" s="102"/>
      <c r="I50" s="102"/>
      <c r="J50" s="5"/>
      <c r="K50" s="24"/>
      <c r="L50" s="24"/>
      <c r="M50" s="24"/>
      <c r="N50" s="24"/>
      <c r="S50" s="1"/>
    </row>
    <row r="51" spans="1:24" s="6" customFormat="1" ht="22" customHeight="1">
      <c r="A51" s="89" t="s">
        <v>83</v>
      </c>
      <c r="B51" s="119"/>
      <c r="C51" s="119"/>
      <c r="D51" s="120">
        <v>1571</v>
      </c>
      <c r="E51" s="120">
        <v>1571</v>
      </c>
      <c r="F51" s="120">
        <v>1571</v>
      </c>
      <c r="G51" s="120">
        <v>1571</v>
      </c>
      <c r="H51" s="120">
        <v>1571</v>
      </c>
      <c r="I51" s="120">
        <v>1571</v>
      </c>
      <c r="J51" s="30"/>
      <c r="K51" s="30"/>
      <c r="L51" s="30"/>
      <c r="M51" s="30"/>
      <c r="N51" s="30"/>
      <c r="O51" s="30"/>
      <c r="P51" s="30"/>
      <c r="Q51" s="30"/>
      <c r="R51" s="30"/>
      <c r="S51" s="15"/>
      <c r="T51" s="30"/>
      <c r="U51" s="30"/>
      <c r="V51" s="30"/>
      <c r="W51" s="30"/>
    </row>
    <row r="52" spans="1:24" s="6" customFormat="1" ht="22" customHeight="1">
      <c r="A52" s="89"/>
      <c r="B52" s="122"/>
      <c r="C52" s="122"/>
      <c r="D52" s="122"/>
      <c r="E52" s="122"/>
      <c r="F52" s="122"/>
      <c r="G52" s="122"/>
      <c r="H52" s="122"/>
      <c r="I52" s="122"/>
      <c r="J52" s="5"/>
      <c r="K52" s="24"/>
      <c r="L52" s="24"/>
      <c r="M52" s="24"/>
      <c r="N52" s="24"/>
    </row>
    <row r="53" spans="1:24" s="6" customFormat="1" ht="22" customHeight="1">
      <c r="A53" s="79" t="s">
        <v>85</v>
      </c>
      <c r="B53" s="123"/>
      <c r="C53" s="79">
        <v>1204</v>
      </c>
      <c r="D53" s="79">
        <v>1129</v>
      </c>
      <c r="E53" s="79">
        <f>D53</f>
        <v>1129</v>
      </c>
      <c r="F53" s="79">
        <f>E53</f>
        <v>1129</v>
      </c>
      <c r="G53" s="79">
        <f t="shared" ref="G53:I53" si="18">F53</f>
        <v>1129</v>
      </c>
      <c r="H53" s="79">
        <f t="shared" si="18"/>
        <v>1129</v>
      </c>
      <c r="I53" s="79">
        <f t="shared" si="18"/>
        <v>1129</v>
      </c>
      <c r="J53" s="4"/>
      <c r="K53" s="20"/>
      <c r="L53" s="20"/>
      <c r="M53" s="20"/>
      <c r="N53" s="20"/>
    </row>
    <row r="54" spans="1:24" s="6" customFormat="1" ht="22" customHeight="1">
      <c r="A54" s="89"/>
      <c r="B54" s="89"/>
      <c r="C54" s="89"/>
      <c r="D54" s="89"/>
      <c r="E54" s="89"/>
      <c r="F54" s="118"/>
      <c r="G54" s="118"/>
      <c r="H54" s="118"/>
      <c r="I54" s="118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4" s="6" customFormat="1" ht="22" customHeight="1">
      <c r="A55" s="89" t="s">
        <v>86</v>
      </c>
      <c r="B55" s="89"/>
      <c r="C55" s="102">
        <f>C49+C51+C53</f>
        <v>17319.0517</v>
      </c>
      <c r="D55" s="102">
        <f>D49+D51+D53</f>
        <v>18533.0517</v>
      </c>
      <c r="E55" s="102">
        <f t="shared" ref="E55:I55" si="19">E49+E51+E53</f>
        <v>18880.0517</v>
      </c>
      <c r="F55" s="102">
        <f t="shared" si="19"/>
        <v>18447.0517</v>
      </c>
      <c r="G55" s="102">
        <f t="shared" si="19"/>
        <v>17863.0517</v>
      </c>
      <c r="H55" s="102">
        <f t="shared" si="19"/>
        <v>16863.0517</v>
      </c>
      <c r="I55" s="102">
        <f t="shared" si="19"/>
        <v>16363.0517</v>
      </c>
      <c r="J55" s="33"/>
      <c r="K55" s="36"/>
      <c r="L55" s="36"/>
      <c r="M55" s="36"/>
      <c r="N55" s="35"/>
      <c r="Q55" s="5"/>
      <c r="R55" s="5"/>
    </row>
    <row r="56" spans="1:24" s="6" customFormat="1" ht="22" customHeight="1">
      <c r="A56" s="78"/>
      <c r="B56" s="124"/>
      <c r="C56" s="125"/>
      <c r="D56" s="125"/>
      <c r="E56" s="125"/>
      <c r="F56" s="126"/>
      <c r="G56" s="126"/>
      <c r="H56" s="126"/>
      <c r="I56" s="127"/>
    </row>
    <row r="57" spans="1:24" s="6" customFormat="1" ht="22" customHeight="1"/>
    <row r="58" spans="1:24" s="6" customFormat="1" ht="22" customHeight="1">
      <c r="A58" s="89"/>
      <c r="B58" s="89"/>
      <c r="C58" s="89"/>
      <c r="D58" s="89"/>
      <c r="E58" s="89"/>
      <c r="F58" s="89"/>
      <c r="G58" s="89"/>
      <c r="H58" s="89"/>
      <c r="I58" s="89"/>
      <c r="J58" s="5"/>
      <c r="L58" s="5"/>
      <c r="M58" s="5"/>
      <c r="N58" s="5"/>
    </row>
    <row r="59" spans="1:24" s="6" customFormat="1" ht="22" customHeight="1">
      <c r="A59" s="5"/>
      <c r="B59" s="5"/>
      <c r="C59" s="34"/>
      <c r="D59" s="34"/>
      <c r="E59" s="34"/>
      <c r="F59" s="5"/>
      <c r="G59" s="5"/>
      <c r="H59" s="5"/>
      <c r="I59" s="5"/>
      <c r="J59" s="3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8"/>
      <c r="X59" s="2"/>
    </row>
    <row r="60" spans="1:24" s="6" customFormat="1" ht="22" customHeight="1">
      <c r="A60" s="27"/>
      <c r="B60" s="5"/>
      <c r="C60" s="37"/>
      <c r="D60" s="37"/>
      <c r="E60" s="37"/>
      <c r="F60" s="37"/>
      <c r="G60" s="37"/>
      <c r="H60" s="37"/>
      <c r="I60" s="37"/>
      <c r="J60" s="3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8"/>
      <c r="X60" s="2"/>
    </row>
    <row r="61" spans="1:24" s="6" customFormat="1" ht="22" customHeight="1">
      <c r="A61" s="27"/>
      <c r="B61" s="5"/>
      <c r="C61" s="37"/>
      <c r="D61" s="37"/>
      <c r="E61" s="37"/>
      <c r="F61" s="37"/>
      <c r="G61" s="37"/>
      <c r="H61" s="37"/>
      <c r="I61" s="37"/>
      <c r="J61" s="3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8"/>
      <c r="X61" s="2"/>
    </row>
    <row r="62" spans="1:24" s="6" customFormat="1" ht="22" customHeight="1">
      <c r="A62" s="27"/>
      <c r="B62" s="5"/>
      <c r="C62" s="37"/>
      <c r="D62" s="37"/>
      <c r="E62" s="37"/>
      <c r="F62" s="37"/>
      <c r="G62" s="37"/>
      <c r="H62" s="37"/>
      <c r="I62" s="3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8"/>
      <c r="X62" s="2"/>
    </row>
    <row r="63" spans="1:24" s="6" customFormat="1" ht="22" customHeight="1">
      <c r="A63" s="27"/>
      <c r="B63" s="5"/>
      <c r="C63" s="5"/>
      <c r="D63" s="5"/>
      <c r="E63" s="5"/>
      <c r="J63" s="3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8"/>
      <c r="X63" s="2"/>
    </row>
    <row r="64" spans="1:24" s="6" customFormat="1" ht="22" customHeight="1">
      <c r="A64" s="27"/>
      <c r="B64" s="5"/>
      <c r="C64" s="37"/>
      <c r="D64" s="37"/>
      <c r="E64" s="37"/>
      <c r="F64" s="37"/>
      <c r="G64" s="37"/>
      <c r="H64" s="37"/>
      <c r="I64" s="37"/>
      <c r="J64" s="3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8"/>
      <c r="X64" s="2"/>
    </row>
    <row r="65" spans="1:24" s="6" customFormat="1" ht="22" customHeight="1">
      <c r="A65" s="27"/>
      <c r="B65" s="5"/>
      <c r="C65" s="37"/>
      <c r="D65" s="37"/>
      <c r="E65" s="37"/>
      <c r="F65" s="37"/>
      <c r="G65" s="37"/>
      <c r="H65" s="37"/>
      <c r="I65" s="37"/>
      <c r="J65" s="3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8"/>
      <c r="X65" s="2"/>
    </row>
    <row r="66" spans="1:24" s="6" customFormat="1" ht="22" customHeight="1">
      <c r="A66" s="27"/>
      <c r="B66" s="5"/>
      <c r="C66" s="37"/>
      <c r="D66" s="37"/>
      <c r="E66" s="37"/>
      <c r="F66" s="37"/>
      <c r="G66" s="37"/>
      <c r="H66" s="37"/>
      <c r="I66" s="3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s="6" customFormat="1" ht="22" customHeight="1">
      <c r="A67" s="27"/>
      <c r="B67" s="5"/>
      <c r="J67" s="38"/>
      <c r="K67" s="38"/>
      <c r="L67" s="38"/>
      <c r="M67" s="38"/>
      <c r="N67" s="38"/>
      <c r="O67" s="38"/>
      <c r="P67" s="38"/>
      <c r="Q67" s="38"/>
      <c r="R67" s="38"/>
      <c r="S67" s="3"/>
      <c r="T67" s="38"/>
      <c r="U67" s="38"/>
      <c r="V67" s="38"/>
      <c r="W67" s="38"/>
      <c r="X67" s="2"/>
    </row>
    <row r="68" spans="1:24" s="6" customFormat="1" ht="22" customHeight="1">
      <c r="B68" s="4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"/>
      <c r="T68" s="38"/>
      <c r="U68" s="38"/>
      <c r="V68" s="38"/>
      <c r="W68" s="38"/>
      <c r="X68" s="2"/>
    </row>
    <row r="69" spans="1:24" s="6" customFormat="1" ht="22" customHeight="1">
      <c r="B69" s="5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"/>
      <c r="T69" s="38"/>
      <c r="U69" s="38"/>
      <c r="V69" s="38"/>
      <c r="W69" s="38"/>
      <c r="X69" s="2"/>
    </row>
    <row r="70" spans="1:24" s="4" customFormat="1" ht="22" customHeight="1">
      <c r="A70" s="6"/>
      <c r="C70" s="38"/>
      <c r="D70" s="38"/>
      <c r="E70" s="38"/>
      <c r="F70" s="38"/>
      <c r="G70" s="38"/>
      <c r="H70" s="38"/>
      <c r="I70" s="38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s="5" customFormat="1" ht="22" customHeight="1">
      <c r="A71" s="6"/>
      <c r="B71" s="4"/>
      <c r="C71" s="6"/>
      <c r="D71" s="6"/>
      <c r="E71" s="6"/>
      <c r="F71" s="6"/>
      <c r="G71" s="6"/>
      <c r="H71" s="6"/>
      <c r="I71" s="6"/>
      <c r="J71" s="6"/>
      <c r="K71" s="38"/>
      <c r="L71" s="38"/>
      <c r="M71" s="38"/>
      <c r="N71" s="2"/>
      <c r="O71" s="38"/>
      <c r="P71" s="38"/>
      <c r="Q71" s="38"/>
      <c r="R71" s="38"/>
      <c r="S71" s="2"/>
      <c r="T71" s="2"/>
      <c r="U71" s="2"/>
      <c r="V71" s="2"/>
      <c r="W71" s="2"/>
      <c r="X71" s="2"/>
    </row>
    <row r="72" spans="1:24" s="5" customFormat="1" ht="22" customHeight="1">
      <c r="A72" s="6"/>
      <c r="B72" s="12"/>
      <c r="C72" s="38"/>
      <c r="D72" s="38"/>
      <c r="E72" s="38"/>
      <c r="F72" s="38"/>
      <c r="G72" s="38"/>
      <c r="H72" s="38"/>
      <c r="I72" s="38"/>
      <c r="J72" s="6"/>
      <c r="K72" s="38"/>
      <c r="L72" s="38"/>
      <c r="M72" s="38"/>
      <c r="N72" s="38"/>
      <c r="O72" s="38"/>
      <c r="P72" s="38"/>
      <c r="Q72" s="38"/>
      <c r="R72" s="38"/>
      <c r="S72" s="3"/>
      <c r="T72" s="38"/>
      <c r="U72" s="38"/>
      <c r="V72" s="38"/>
      <c r="W72" s="38"/>
      <c r="X72" s="2"/>
    </row>
    <row r="73" spans="1:24" s="5" customFormat="1" ht="22" customHeight="1">
      <c r="A73" s="6"/>
      <c r="B73" s="39"/>
      <c r="C73" s="39"/>
      <c r="D73" s="38"/>
      <c r="E73" s="38"/>
      <c r="F73" s="38"/>
      <c r="G73" s="38"/>
      <c r="H73" s="38"/>
      <c r="I73" s="38"/>
      <c r="J73" s="6"/>
      <c r="K73" s="38"/>
      <c r="L73" s="38"/>
      <c r="M73" s="38"/>
      <c r="N73" s="38"/>
      <c r="O73" s="38"/>
      <c r="P73" s="38"/>
      <c r="Q73" s="38"/>
      <c r="R73" s="38"/>
      <c r="S73" s="3"/>
      <c r="T73" s="38"/>
      <c r="U73" s="38"/>
      <c r="V73" s="38"/>
      <c r="W73" s="38"/>
      <c r="X73" s="2"/>
    </row>
    <row r="74" spans="1:24" s="5" customFormat="1" ht="22" customHeight="1">
      <c r="A74" s="6"/>
      <c r="C74" s="39"/>
      <c r="D74" s="38"/>
      <c r="E74" s="38"/>
      <c r="F74" s="38"/>
      <c r="G74" s="38"/>
      <c r="H74" s="38"/>
      <c r="I74" s="38"/>
      <c r="K74" s="38"/>
      <c r="L74" s="38"/>
      <c r="M74" s="38"/>
      <c r="N74" s="38"/>
      <c r="O74" s="38"/>
      <c r="P74" s="38"/>
      <c r="Q74" s="38"/>
      <c r="R74" s="38"/>
      <c r="S74" s="3"/>
      <c r="T74" s="38"/>
      <c r="U74" s="38"/>
      <c r="V74" s="38"/>
      <c r="W74" s="38"/>
      <c r="X74" s="2"/>
    </row>
    <row r="75" spans="1:24" s="5" customFormat="1" ht="22" customHeight="1">
      <c r="A75" s="6"/>
      <c r="C75" s="39"/>
      <c r="D75" s="38"/>
      <c r="E75" s="38"/>
      <c r="F75" s="38"/>
      <c r="G75" s="38"/>
      <c r="H75" s="38"/>
      <c r="I75" s="38"/>
      <c r="J75" s="6"/>
      <c r="K75" s="38"/>
      <c r="L75" s="38"/>
      <c r="M75" s="38"/>
      <c r="N75" s="38"/>
      <c r="O75" s="38"/>
      <c r="P75" s="38"/>
      <c r="Q75" s="38"/>
      <c r="R75" s="38"/>
      <c r="S75" s="3"/>
      <c r="T75" s="38"/>
      <c r="U75" s="38"/>
      <c r="V75" s="38"/>
      <c r="W75" s="38"/>
      <c r="X75" s="2"/>
    </row>
    <row r="76" spans="1:24" s="5" customFormat="1" ht="22" customHeight="1">
      <c r="A76" s="6"/>
      <c r="C76" s="39"/>
      <c r="D76" s="38"/>
      <c r="E76" s="38"/>
      <c r="F76" s="38"/>
      <c r="G76" s="38"/>
      <c r="H76" s="38"/>
      <c r="I76" s="38"/>
      <c r="J76" s="6"/>
      <c r="K76" s="38"/>
      <c r="L76" s="38"/>
      <c r="M76" s="38"/>
      <c r="N76" s="38"/>
      <c r="O76" s="38"/>
      <c r="P76" s="38"/>
      <c r="Q76" s="38"/>
      <c r="R76" s="38"/>
      <c r="S76" s="3"/>
      <c r="T76" s="38"/>
      <c r="U76" s="38"/>
      <c r="V76" s="38"/>
      <c r="W76" s="38"/>
      <c r="X76" s="2"/>
    </row>
    <row r="77" spans="1:24" s="4" customFormat="1" ht="22" customHeight="1">
      <c r="A77" s="6"/>
      <c r="B77" s="5"/>
      <c r="C77" s="39"/>
      <c r="D77" s="38"/>
      <c r="E77" s="38"/>
      <c r="F77" s="38"/>
      <c r="G77" s="38"/>
      <c r="H77" s="38"/>
      <c r="I77" s="38"/>
      <c r="K77" s="38"/>
      <c r="L77" s="38"/>
      <c r="M77" s="38"/>
      <c r="N77" s="38"/>
      <c r="O77" s="38"/>
      <c r="P77" s="38"/>
      <c r="Q77" s="38"/>
      <c r="R77" s="38"/>
      <c r="S77" s="3"/>
      <c r="T77" s="38"/>
      <c r="U77" s="38"/>
      <c r="V77" s="38"/>
      <c r="W77" s="38"/>
      <c r="X77" s="2"/>
    </row>
    <row r="78" spans="1:24" s="5" customFormat="1" ht="22" customHeight="1">
      <c r="A78" s="6"/>
      <c r="C78" s="39"/>
      <c r="D78" s="39"/>
      <c r="E78" s="39"/>
      <c r="F78" s="39"/>
      <c r="G78" s="39"/>
      <c r="H78" s="39"/>
      <c r="I78" s="39"/>
      <c r="K78" s="38"/>
      <c r="L78" s="38"/>
      <c r="M78" s="38"/>
      <c r="N78" s="38"/>
      <c r="O78" s="38"/>
      <c r="P78" s="38"/>
      <c r="Q78" s="38"/>
      <c r="R78" s="38"/>
      <c r="S78" s="3"/>
      <c r="T78" s="38"/>
      <c r="U78" s="38"/>
      <c r="V78" s="38"/>
      <c r="W78" s="38"/>
      <c r="X78" s="2"/>
    </row>
    <row r="79" spans="1:24" s="4" customFormat="1" ht="22" customHeight="1">
      <c r="A79" s="6"/>
      <c r="B79" s="5"/>
      <c r="C79" s="38"/>
      <c r="D79" s="38"/>
      <c r="E79" s="38"/>
      <c r="F79" s="38"/>
      <c r="G79" s="38"/>
      <c r="H79" s="38"/>
      <c r="I79" s="38"/>
      <c r="J79" s="3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s="4" customFormat="1" ht="22" customHeight="1">
      <c r="A80" s="6"/>
      <c r="B80" s="5"/>
      <c r="C80" s="37"/>
      <c r="D80" s="37"/>
      <c r="E80" s="37"/>
      <c r="F80" s="37"/>
      <c r="G80" s="37"/>
      <c r="H80" s="37"/>
      <c r="I80" s="37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2" s="12" customFormat="1" ht="22" customHeight="1">
      <c r="A81" s="6"/>
      <c r="B81" s="4"/>
      <c r="C81" s="39"/>
      <c r="D81" s="6"/>
      <c r="E81" s="6"/>
      <c r="F81" s="40"/>
      <c r="G81" s="6"/>
      <c r="H81" s="6"/>
      <c r="I81" s="6"/>
      <c r="J81" s="4"/>
      <c r="K81" s="4"/>
      <c r="L81" s="4"/>
      <c r="M81" s="4"/>
      <c r="N81" s="4"/>
      <c r="O81" s="6"/>
      <c r="P81" s="6"/>
      <c r="Q81" s="6"/>
      <c r="R81" s="6"/>
      <c r="S81" s="5"/>
      <c r="U81" s="38"/>
      <c r="V81" s="5"/>
    </row>
    <row r="82" spans="1:22" s="5" customFormat="1" ht="22" customHeight="1">
      <c r="B82" s="28"/>
      <c r="C82" s="14"/>
      <c r="D82" s="14"/>
      <c r="E82" s="14"/>
      <c r="F82" s="14"/>
      <c r="G82" s="14"/>
      <c r="H82" s="14"/>
      <c r="I82" s="4"/>
      <c r="J82" s="1"/>
      <c r="O82" s="6"/>
      <c r="P82" s="6"/>
      <c r="Q82" s="6"/>
      <c r="R82" s="6"/>
      <c r="U82" s="38"/>
    </row>
    <row r="83" spans="1:22" s="5" customFormat="1" ht="22" customHeight="1">
      <c r="B83" s="23"/>
      <c r="C83" s="23"/>
      <c r="D83" s="23"/>
      <c r="E83" s="23"/>
      <c r="J83" s="1"/>
      <c r="O83" s="6"/>
      <c r="P83" s="6"/>
      <c r="Q83" s="6"/>
      <c r="R83" s="6"/>
      <c r="U83" s="38"/>
    </row>
    <row r="84" spans="1:22" s="5" customFormat="1" ht="22" customHeight="1">
      <c r="B84" s="23"/>
      <c r="C84" s="23"/>
      <c r="D84" s="23"/>
      <c r="E84" s="23"/>
      <c r="J84" s="1"/>
      <c r="K84" s="41"/>
      <c r="O84" s="6"/>
      <c r="P84" s="38"/>
      <c r="Q84" s="38"/>
      <c r="R84" s="38"/>
      <c r="S84" s="4"/>
      <c r="U84" s="38"/>
    </row>
    <row r="85" spans="1:22" s="5" customFormat="1" ht="22" customHeight="1">
      <c r="A85" s="1"/>
      <c r="B85" s="23"/>
      <c r="C85" s="23"/>
      <c r="D85" s="23"/>
      <c r="E85" s="23"/>
      <c r="J85" s="1"/>
      <c r="O85" s="6"/>
      <c r="P85" s="38"/>
      <c r="Q85" s="38"/>
      <c r="R85" s="38"/>
      <c r="U85" s="38"/>
    </row>
    <row r="86" spans="1:22" s="5" customFormat="1" ht="22" customHeight="1">
      <c r="B86" s="23"/>
      <c r="C86" s="23"/>
      <c r="D86" s="23"/>
      <c r="E86" s="23"/>
      <c r="J86" s="4"/>
      <c r="O86" s="6"/>
      <c r="P86" s="6"/>
      <c r="Q86" s="6"/>
      <c r="R86" s="6"/>
      <c r="S86" s="4"/>
      <c r="U86" s="38"/>
      <c r="V86" s="4"/>
    </row>
    <row r="87" spans="1:22" s="5" customFormat="1" ht="22" customHeight="1">
      <c r="B87" s="23"/>
      <c r="C87" s="23"/>
      <c r="D87" s="23"/>
      <c r="E87" s="23"/>
      <c r="O87" s="6"/>
      <c r="P87" s="6"/>
      <c r="Q87" s="6"/>
      <c r="R87" s="6"/>
      <c r="S87" s="4"/>
      <c r="U87" s="38"/>
    </row>
    <row r="88" spans="1:22" s="5" customFormat="1" ht="22" customHeight="1">
      <c r="B88" s="14"/>
      <c r="C88" s="14"/>
      <c r="D88" s="14"/>
      <c r="E88" s="14"/>
      <c r="F88" s="14"/>
      <c r="G88" s="14"/>
      <c r="H88" s="14"/>
      <c r="K88" s="4"/>
      <c r="L88" s="4"/>
      <c r="M88" s="4"/>
      <c r="N88" s="4"/>
      <c r="O88" s="6"/>
      <c r="P88" s="38"/>
      <c r="Q88" s="38"/>
      <c r="R88" s="38"/>
      <c r="S88" s="12"/>
      <c r="U88" s="38"/>
      <c r="V88" s="4"/>
    </row>
    <row r="89" spans="1:22" s="5" customFormat="1" ht="22" customHeight="1">
      <c r="B89" s="23"/>
      <c r="C89" s="23"/>
      <c r="D89" s="23"/>
      <c r="E89" s="23"/>
      <c r="F89" s="4"/>
      <c r="G89" s="42"/>
      <c r="H89" s="42"/>
      <c r="I89" s="4"/>
      <c r="O89" s="6"/>
      <c r="P89" s="38"/>
      <c r="Q89" s="38"/>
      <c r="R89" s="38"/>
      <c r="U89" s="38"/>
      <c r="V89" s="12"/>
    </row>
    <row r="90" spans="1:22" s="4" customFormat="1" ht="22" customHeight="1">
      <c r="A90" s="5"/>
      <c r="B90" s="28"/>
      <c r="C90" s="28"/>
      <c r="D90" s="28"/>
      <c r="E90" s="28"/>
      <c r="F90" s="28"/>
      <c r="G90" s="28"/>
      <c r="H90" s="28"/>
      <c r="I90" s="5"/>
      <c r="O90" s="6"/>
      <c r="P90" s="38"/>
      <c r="Q90" s="38"/>
      <c r="R90" s="38"/>
      <c r="S90" s="5"/>
      <c r="U90" s="6"/>
      <c r="V90" s="5"/>
    </row>
    <row r="91" spans="1:22" s="6" customFormat="1" ht="22" customHeight="1">
      <c r="A91" s="5"/>
      <c r="B91" s="23"/>
      <c r="C91" s="23"/>
      <c r="D91" s="23"/>
      <c r="E91" s="23"/>
      <c r="F91" s="43"/>
      <c r="G91" s="43"/>
      <c r="H91" s="43"/>
      <c r="I91" s="4"/>
      <c r="J91" s="5"/>
      <c r="K91" s="12"/>
      <c r="L91" s="12"/>
      <c r="M91" s="12"/>
      <c r="N91" s="12"/>
      <c r="P91" s="38"/>
      <c r="Q91" s="38"/>
      <c r="R91" s="38"/>
      <c r="S91" s="5"/>
      <c r="U91" s="4"/>
      <c r="V91" s="5"/>
    </row>
    <row r="92" spans="1:22" s="1" customFormat="1" ht="22" customHeight="1">
      <c r="A92" s="5"/>
      <c r="B92" s="23"/>
      <c r="C92" s="23"/>
      <c r="D92" s="23"/>
      <c r="E92" s="23"/>
      <c r="F92" s="23"/>
      <c r="G92" s="23"/>
      <c r="H92" s="23"/>
      <c r="I92" s="12"/>
      <c r="J92" s="5"/>
      <c r="K92" s="5"/>
      <c r="L92" s="5"/>
      <c r="M92" s="5"/>
      <c r="N92" s="5"/>
      <c r="O92" s="6"/>
      <c r="P92" s="38"/>
      <c r="Q92" s="38"/>
      <c r="R92" s="38"/>
      <c r="S92" s="5"/>
      <c r="U92" s="5"/>
      <c r="V92" s="5"/>
    </row>
    <row r="93" spans="1:22" s="1" customFormat="1" ht="22" customHeight="1">
      <c r="A93" s="4"/>
      <c r="B93" s="23"/>
      <c r="C93" s="23"/>
      <c r="D93" s="23"/>
      <c r="E93" s="23"/>
      <c r="F93" s="5"/>
      <c r="G93" s="5"/>
      <c r="H93" s="5"/>
      <c r="I93" s="5"/>
      <c r="J93" s="5"/>
      <c r="K93" s="5"/>
      <c r="L93" s="5"/>
      <c r="M93" s="5"/>
      <c r="N93" s="5"/>
      <c r="O93" s="6"/>
      <c r="P93" s="38"/>
      <c r="Q93" s="38"/>
      <c r="R93" s="38"/>
      <c r="S93" s="5"/>
      <c r="U93" s="5"/>
      <c r="V93" s="5"/>
    </row>
    <row r="94" spans="1:22" s="1" customFormat="1" ht="22" customHeight="1">
      <c r="A94" s="12"/>
      <c r="B94" s="23"/>
      <c r="C94" s="23"/>
      <c r="D94" s="23"/>
      <c r="E94" s="23"/>
      <c r="F94" s="5"/>
      <c r="G94" s="5"/>
      <c r="H94" s="5"/>
      <c r="I94" s="5"/>
      <c r="J94" s="5"/>
      <c r="K94" s="5"/>
      <c r="L94" s="5"/>
      <c r="M94" s="5"/>
      <c r="N94" s="5"/>
      <c r="O94" s="6"/>
      <c r="P94" s="38"/>
      <c r="Q94" s="38"/>
      <c r="R94" s="38"/>
      <c r="S94" s="5"/>
      <c r="U94" s="5"/>
      <c r="V94" s="5"/>
    </row>
    <row r="95" spans="1:22" s="1" customFormat="1" ht="22" customHeight="1">
      <c r="A95" s="5"/>
      <c r="B95" s="23"/>
      <c r="C95" s="23"/>
      <c r="D95" s="23"/>
      <c r="E95" s="23"/>
      <c r="F95" s="5"/>
      <c r="G95" s="5"/>
      <c r="H95" s="5"/>
      <c r="I95" s="5"/>
      <c r="J95" s="5"/>
      <c r="K95" s="5"/>
      <c r="L95" s="5"/>
      <c r="M95" s="5"/>
      <c r="N95" s="5"/>
      <c r="O95" s="6"/>
      <c r="P95" s="38"/>
      <c r="Q95" s="38"/>
      <c r="R95" s="38"/>
      <c r="S95" s="5"/>
      <c r="U95" s="5"/>
      <c r="V95" s="5"/>
    </row>
    <row r="96" spans="1:22" s="4" customFormat="1" ht="22" customHeight="1">
      <c r="A96" s="5"/>
      <c r="B96" s="23"/>
      <c r="C96" s="23"/>
      <c r="D96" s="23"/>
      <c r="E96" s="23"/>
      <c r="F96" s="5"/>
      <c r="G96" s="5"/>
      <c r="H96" s="5"/>
      <c r="I96" s="5"/>
      <c r="K96" s="5"/>
      <c r="L96" s="5"/>
      <c r="M96" s="5"/>
      <c r="N96" s="5"/>
      <c r="O96" s="6"/>
      <c r="P96" s="38"/>
      <c r="Q96" s="38"/>
      <c r="R96" s="38"/>
      <c r="S96" s="5"/>
      <c r="U96" s="5"/>
    </row>
    <row r="97" spans="1:22" s="5" customFormat="1" ht="22" customHeight="1">
      <c r="B97" s="28"/>
      <c r="C97" s="28"/>
      <c r="D97" s="28"/>
      <c r="E97" s="28"/>
      <c r="F97" s="28"/>
      <c r="G97" s="28"/>
      <c r="H97" s="28"/>
      <c r="J97" s="1"/>
      <c r="O97" s="6"/>
      <c r="P97" s="6"/>
      <c r="Q97" s="6"/>
      <c r="R97" s="6"/>
      <c r="S97" s="4"/>
      <c r="V97" s="6"/>
    </row>
    <row r="98" spans="1:22" s="5" customFormat="1" ht="22" customHeight="1">
      <c r="A98" s="1"/>
      <c r="B98" s="4"/>
      <c r="C98" s="1"/>
      <c r="D98" s="1"/>
      <c r="E98" s="1"/>
      <c r="O98" s="4"/>
      <c r="P98" s="4"/>
      <c r="Q98" s="4"/>
      <c r="R98" s="4"/>
      <c r="S98" s="6"/>
      <c r="U98" s="4"/>
      <c r="V98" s="1"/>
    </row>
    <row r="99" spans="1:22" s="5" customFormat="1" ht="22" customHeight="1">
      <c r="A99" s="44"/>
      <c r="C99" s="1"/>
      <c r="D99" s="1"/>
      <c r="E99" s="1"/>
      <c r="K99" s="4"/>
      <c r="L99" s="4"/>
      <c r="M99" s="4"/>
      <c r="N99" s="4"/>
      <c r="S99" s="1"/>
      <c r="V99" s="1"/>
    </row>
    <row r="100" spans="1:22" s="4" customFormat="1" ht="22" customHeight="1">
      <c r="A100" s="1"/>
      <c r="B100" s="5"/>
      <c r="C100" s="1"/>
      <c r="D100" s="1"/>
      <c r="E100" s="1"/>
      <c r="J100" s="5"/>
      <c r="K100" s="6"/>
      <c r="L100" s="6"/>
      <c r="M100" s="6"/>
      <c r="N100" s="6"/>
      <c r="O100" s="5"/>
      <c r="P100" s="5"/>
      <c r="Q100" s="5"/>
      <c r="R100" s="5"/>
      <c r="S100" s="1"/>
      <c r="V100" s="1"/>
    </row>
    <row r="101" spans="1:22" s="5" customFormat="1" ht="22" customHeight="1">
      <c r="A101" s="33"/>
      <c r="C101" s="1"/>
      <c r="D101" s="1"/>
      <c r="E101" s="1"/>
      <c r="F101" s="6"/>
      <c r="G101" s="6"/>
      <c r="H101" s="6"/>
      <c r="I101" s="6"/>
      <c r="J101" s="1"/>
      <c r="K101" s="1"/>
      <c r="L101" s="1"/>
      <c r="M101" s="1"/>
      <c r="N101" s="1"/>
      <c r="S101" s="1"/>
      <c r="U101" s="12"/>
      <c r="V101" s="1"/>
    </row>
    <row r="102" spans="1:22" s="5" customFormat="1" ht="22" customHeight="1">
      <c r="A102" s="4"/>
      <c r="B102" s="4"/>
      <c r="C102" s="4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S102" s="1"/>
      <c r="V102" s="4"/>
    </row>
    <row r="103" spans="1:22" s="5" customFormat="1" ht="22" customHeight="1">
      <c r="B103" s="1"/>
      <c r="F103" s="1"/>
      <c r="G103" s="1"/>
      <c r="H103" s="1"/>
      <c r="I103" s="1"/>
      <c r="J103" s="1"/>
      <c r="K103" s="1"/>
      <c r="L103" s="1"/>
      <c r="M103" s="1"/>
      <c r="N103" s="1"/>
      <c r="S103" s="4"/>
    </row>
    <row r="104" spans="1:22" s="5" customFormat="1" ht="22" customHeight="1">
      <c r="F104" s="1"/>
      <c r="G104" s="1"/>
      <c r="H104" s="1"/>
      <c r="I104" s="1"/>
      <c r="J104" s="1"/>
      <c r="K104" s="1"/>
      <c r="L104" s="1"/>
      <c r="M104" s="1"/>
      <c r="N104" s="1"/>
    </row>
    <row r="105" spans="1:22" s="5" customFormat="1" ht="22" customHeight="1"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</row>
    <row r="106" spans="1:22" s="4" customFormat="1" ht="22" customHeight="1">
      <c r="B106" s="23"/>
      <c r="C106" s="23"/>
      <c r="D106" s="23"/>
      <c r="E106" s="23"/>
      <c r="F106" s="23"/>
      <c r="G106" s="23"/>
      <c r="H106" s="23"/>
      <c r="J106" s="5"/>
      <c r="K106" s="5"/>
      <c r="L106" s="5"/>
      <c r="M106" s="5"/>
      <c r="N106" s="5"/>
      <c r="O106" s="5"/>
      <c r="P106" s="5"/>
      <c r="Q106" s="5"/>
      <c r="R106" s="5"/>
      <c r="S106" s="5"/>
      <c r="U106" s="5"/>
      <c r="V106" s="5"/>
    </row>
    <row r="107" spans="1:22" s="1" customFormat="1" ht="22" customHeight="1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U107" s="5"/>
      <c r="V107" s="4"/>
    </row>
    <row r="108" spans="1:22" s="1" customFormat="1" ht="22" customHeight="1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2"/>
      <c r="P108" s="12"/>
      <c r="Q108" s="12"/>
      <c r="R108" s="12"/>
      <c r="S108" s="5"/>
      <c r="U108" s="5"/>
      <c r="V108" s="5"/>
    </row>
    <row r="109" spans="1:22" s="1" customFormat="1" ht="22" customHeight="1">
      <c r="A109" s="4"/>
      <c r="B109" s="4"/>
      <c r="C109" s="4"/>
      <c r="D109" s="4"/>
      <c r="E109" s="4"/>
      <c r="F109" s="5"/>
      <c r="G109" s="5"/>
      <c r="H109" s="5"/>
      <c r="I109" s="5"/>
      <c r="J109" s="4"/>
      <c r="K109" s="4"/>
      <c r="L109" s="4"/>
      <c r="M109" s="4"/>
      <c r="N109" s="4"/>
      <c r="O109" s="5"/>
      <c r="P109" s="5"/>
      <c r="Q109" s="5"/>
      <c r="R109" s="5"/>
      <c r="S109" s="5"/>
      <c r="U109" s="5"/>
    </row>
    <row r="110" spans="1:22" s="4" customFormat="1" ht="22" customHeight="1">
      <c r="A110" s="5"/>
      <c r="B110" s="23"/>
      <c r="C110" s="23"/>
      <c r="D110" s="23"/>
      <c r="E110" s="23"/>
      <c r="F110" s="42"/>
      <c r="G110" s="42"/>
      <c r="H110" s="42"/>
      <c r="J110" s="5"/>
      <c r="K110" s="5"/>
      <c r="L110" s="5"/>
      <c r="M110" s="5"/>
      <c r="N110" s="5"/>
      <c r="O110" s="5"/>
      <c r="P110" s="5"/>
      <c r="Q110" s="5"/>
      <c r="R110" s="5"/>
      <c r="S110" s="5"/>
      <c r="U110" s="6"/>
      <c r="V110" s="5"/>
    </row>
    <row r="111" spans="1:22" s="5" customFormat="1" ht="22" customHeight="1">
      <c r="A111" s="4"/>
      <c r="B111" s="14"/>
      <c r="C111" s="14"/>
      <c r="D111" s="14"/>
      <c r="E111" s="14"/>
      <c r="F111" s="14"/>
      <c r="G111" s="14"/>
      <c r="H111" s="14"/>
      <c r="U111" s="1"/>
    </row>
    <row r="112" spans="1:22" s="5" customFormat="1" ht="22" customHeight="1">
      <c r="A112" s="33"/>
      <c r="B112" s="1"/>
      <c r="C112" s="1"/>
      <c r="D112" s="1"/>
      <c r="E112" s="1"/>
      <c r="U112" s="1"/>
      <c r="V112" s="4"/>
    </row>
    <row r="113" spans="1:26" s="4" customFormat="1" ht="22" customHeight="1">
      <c r="A113" s="33"/>
      <c r="B113" s="10"/>
      <c r="C113" s="1"/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U113" s="1"/>
      <c r="V113" s="1"/>
    </row>
    <row r="114" spans="1:26" s="5" customFormat="1" ht="22" customHeight="1">
      <c r="A114" s="4"/>
      <c r="B114" s="4"/>
      <c r="C114" s="10"/>
      <c r="D114" s="4"/>
      <c r="E114" s="4"/>
      <c r="J114" s="1"/>
      <c r="K114" s="1"/>
      <c r="L114" s="1"/>
      <c r="M114" s="1"/>
      <c r="N114" s="1"/>
      <c r="S114" s="1"/>
      <c r="U114" s="1"/>
      <c r="V114" s="1"/>
    </row>
    <row r="115" spans="1:26" s="5" customFormat="1" ht="22" customHeight="1">
      <c r="B115" s="32"/>
      <c r="F115" s="1"/>
      <c r="G115" s="1"/>
      <c r="H115" s="1"/>
      <c r="I115" s="1"/>
      <c r="J115" s="1"/>
      <c r="K115" s="1"/>
      <c r="L115" s="1"/>
      <c r="M115" s="1"/>
      <c r="N115" s="1"/>
      <c r="S115" s="1"/>
      <c r="U115" s="4"/>
      <c r="V115" s="1"/>
    </row>
    <row r="116" spans="1:26" s="5" customFormat="1" ht="22" customHeight="1">
      <c r="B116" s="32"/>
      <c r="I116" s="1"/>
      <c r="J116" s="1"/>
      <c r="K116" s="1"/>
      <c r="L116" s="1"/>
      <c r="M116" s="1"/>
      <c r="N116" s="1"/>
      <c r="O116" s="4"/>
      <c r="P116" s="4"/>
      <c r="Q116" s="4"/>
      <c r="R116" s="4"/>
      <c r="S116" s="1"/>
      <c r="V116" s="4"/>
    </row>
    <row r="117" spans="1:26" s="4" customFormat="1" ht="22" customHeight="1">
      <c r="B117" s="1"/>
      <c r="C117" s="1"/>
      <c r="D117" s="1"/>
      <c r="E117" s="1"/>
      <c r="F117" s="1"/>
      <c r="G117" s="1"/>
      <c r="H117" s="1"/>
      <c r="I117" s="1"/>
      <c r="O117" s="6"/>
      <c r="P117" s="6"/>
      <c r="Q117" s="6"/>
      <c r="R117" s="6"/>
      <c r="U117" s="5"/>
      <c r="V117" s="5"/>
    </row>
    <row r="118" spans="1:26" s="1" customFormat="1" ht="22" customHeight="1">
      <c r="A118" s="5"/>
      <c r="D118" s="5"/>
      <c r="E118" s="5"/>
      <c r="F118" s="5"/>
      <c r="G118" s="5"/>
      <c r="H118" s="5"/>
      <c r="I118" s="4"/>
      <c r="J118" s="5"/>
      <c r="K118" s="5"/>
      <c r="L118" s="5"/>
      <c r="M118" s="5"/>
      <c r="N118" s="5"/>
      <c r="S118" s="5"/>
      <c r="U118" s="5"/>
      <c r="V118" s="5"/>
    </row>
    <row r="119" spans="1:26" s="5" customFormat="1" ht="22" customHeight="1">
      <c r="B119" s="1"/>
      <c r="O119" s="1"/>
      <c r="P119" s="1"/>
      <c r="Q119" s="1"/>
      <c r="R119" s="1"/>
      <c r="U119" s="4"/>
      <c r="V119" s="4"/>
    </row>
    <row r="120" spans="1:26" s="5" customFormat="1" ht="22" customHeight="1">
      <c r="B120" s="1"/>
      <c r="J120" s="4"/>
      <c r="K120" s="4"/>
      <c r="L120" s="4"/>
      <c r="M120" s="4"/>
      <c r="N120" s="4"/>
      <c r="O120" s="1"/>
      <c r="P120" s="1"/>
      <c r="Q120" s="1"/>
      <c r="R120" s="1"/>
      <c r="S120" s="4"/>
    </row>
    <row r="121" spans="1:26" s="1" customFormat="1" ht="22" customHeight="1">
      <c r="A121" s="4"/>
      <c r="B121" s="30"/>
      <c r="C121" s="45"/>
      <c r="D121" s="45"/>
      <c r="E121" s="45"/>
      <c r="F121" s="45"/>
      <c r="G121" s="45"/>
      <c r="H121" s="45"/>
      <c r="I121" s="4"/>
      <c r="J121" s="4"/>
      <c r="K121" s="4"/>
      <c r="L121" s="4"/>
      <c r="M121" s="4"/>
      <c r="N121" s="4"/>
      <c r="S121" s="5"/>
      <c r="U121" s="5"/>
      <c r="V121" s="5"/>
    </row>
    <row r="122" spans="1:26" s="1" customFormat="1" ht="22" customHeight="1">
      <c r="F122" s="4"/>
      <c r="G122" s="4"/>
      <c r="H122" s="4"/>
      <c r="I122" s="4"/>
      <c r="J122" s="5"/>
      <c r="K122" s="5"/>
      <c r="L122" s="5"/>
      <c r="M122" s="5"/>
      <c r="N122" s="5"/>
      <c r="O122" s="4"/>
      <c r="P122" s="4"/>
      <c r="Q122" s="4"/>
      <c r="R122" s="4"/>
      <c r="S122" s="5"/>
      <c r="U122" s="5"/>
      <c r="V122" s="5"/>
    </row>
    <row r="123" spans="1:26" s="1" customFormat="1" ht="22" customHeight="1">
      <c r="A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U123" s="5"/>
      <c r="V123" s="4"/>
    </row>
    <row r="124" spans="1:26" s="4" customFormat="1" ht="22" customHeight="1">
      <c r="A124" s="5"/>
      <c r="B124" s="1"/>
      <c r="C124" s="5"/>
      <c r="D124" s="5"/>
      <c r="E124" s="5"/>
      <c r="F124" s="23"/>
      <c r="G124" s="23"/>
      <c r="H124" s="23"/>
      <c r="I124" s="5"/>
      <c r="O124" s="5"/>
      <c r="P124" s="5"/>
      <c r="Q124" s="5"/>
      <c r="R124" s="5"/>
      <c r="U124" s="1"/>
      <c r="V124" s="5"/>
    </row>
    <row r="125" spans="1:26" s="1" customFormat="1" ht="22" customHeight="1">
      <c r="F125" s="46"/>
      <c r="G125" s="4"/>
      <c r="H125" s="4"/>
      <c r="I125" s="4"/>
      <c r="S125" s="5"/>
      <c r="T125" s="5"/>
      <c r="U125" s="5"/>
      <c r="V125" s="5"/>
      <c r="Z125" s="5"/>
    </row>
    <row r="126" spans="1:26" s="1" customFormat="1" ht="22" customHeight="1">
      <c r="B126" s="7"/>
      <c r="J126" s="5"/>
      <c r="K126" s="5"/>
      <c r="L126" s="5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5"/>
    </row>
    <row r="127" spans="1:26" s="1" customFormat="1" ht="22" customHeight="1">
      <c r="B127" s="33"/>
      <c r="C127" s="9"/>
      <c r="D127" s="9"/>
      <c r="E127" s="9"/>
      <c r="F127" s="47"/>
      <c r="G127" s="47"/>
      <c r="H127" s="4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 spans="1:26" s="10" customFormat="1" ht="22" customHeight="1">
      <c r="A128" s="48"/>
      <c r="B128" s="7"/>
      <c r="C128" s="1"/>
      <c r="D128" s="1"/>
      <c r="E128" s="1"/>
      <c r="F128" s="5"/>
      <c r="G128" s="5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5"/>
      <c r="T128" s="5"/>
      <c r="U128" s="5"/>
      <c r="V128" s="5"/>
      <c r="W128" s="1"/>
      <c r="X128" s="5"/>
      <c r="Y128" s="5"/>
      <c r="Z128" s="1"/>
    </row>
    <row r="129" spans="1:26" s="10" customFormat="1" ht="22" customHeight="1">
      <c r="A129" s="4"/>
      <c r="B129" s="1"/>
      <c r="C129" s="42"/>
      <c r="D129" s="42"/>
      <c r="E129" s="42"/>
      <c r="F129" s="42"/>
      <c r="G129" s="42"/>
      <c r="H129" s="4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"/>
      <c r="T129" s="5"/>
      <c r="U129" s="5"/>
      <c r="V129" s="5"/>
      <c r="W129" s="1"/>
      <c r="X129" s="5"/>
      <c r="Y129" s="5"/>
      <c r="Z129" s="1"/>
    </row>
    <row r="130" spans="1:26" s="2" customFormat="1" ht="22" customHeight="1">
      <c r="A130" s="33"/>
      <c r="B130" s="1"/>
      <c r="C130" s="49"/>
      <c r="D130" s="49"/>
      <c r="E130" s="49"/>
      <c r="F130" s="49"/>
      <c r="G130" s="49"/>
      <c r="H130" s="4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4"/>
      <c r="Y130" s="4"/>
      <c r="Z130" s="4"/>
    </row>
    <row r="131" spans="1:26" s="2" customFormat="1" ht="22" customHeight="1">
      <c r="A131" s="33"/>
      <c r="B131" s="30"/>
      <c r="C131" s="30"/>
      <c r="D131" s="30"/>
      <c r="E131" s="30"/>
      <c r="F131" s="30"/>
      <c r="G131" s="30"/>
      <c r="H131" s="3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  <c r="Z131" s="4"/>
    </row>
    <row r="132" spans="1:26" s="1" customFormat="1" ht="22" customHeight="1">
      <c r="A132" s="33"/>
      <c r="B132" s="50"/>
      <c r="C132" s="51"/>
      <c r="D132" s="51"/>
      <c r="E132" s="51"/>
      <c r="J132" s="4"/>
      <c r="K132" s="4"/>
      <c r="L132" s="4"/>
      <c r="M132" s="4"/>
      <c r="N132" s="4"/>
      <c r="O132" s="4"/>
      <c r="P132" s="4"/>
      <c r="Q132" s="4"/>
      <c r="R132" s="4"/>
      <c r="X132" s="5"/>
      <c r="Y132" s="5"/>
    </row>
    <row r="133" spans="1:26" s="1" customFormat="1" ht="22" customHeight="1">
      <c r="A133" s="10"/>
      <c r="C133" s="10"/>
      <c r="D133" s="10"/>
      <c r="E133" s="10"/>
      <c r="F133" s="10"/>
      <c r="G133" s="10"/>
      <c r="H133" s="10"/>
      <c r="I133" s="4"/>
      <c r="X133" s="5"/>
      <c r="Y133" s="5"/>
    </row>
    <row r="134" spans="1:26" s="1" customFormat="1" ht="22" customHeight="1">
      <c r="A134" s="10"/>
      <c r="B134" s="30"/>
      <c r="C134" s="30"/>
      <c r="D134" s="30"/>
      <c r="E134" s="30"/>
      <c r="F134" s="30"/>
      <c r="G134" s="30"/>
      <c r="H134" s="30"/>
      <c r="U134" s="4"/>
      <c r="V134" s="4"/>
      <c r="W134" s="4"/>
      <c r="X134" s="4"/>
      <c r="Y134" s="4"/>
      <c r="Z134" s="10"/>
    </row>
    <row r="135" spans="1:26" s="1" customFormat="1" ht="22" customHeight="1">
      <c r="A135" s="2"/>
      <c r="B135" s="37"/>
      <c r="C135" s="2"/>
      <c r="D135" s="2"/>
      <c r="E135" s="2"/>
      <c r="F135" s="2"/>
      <c r="G135" s="2"/>
      <c r="H135" s="2"/>
      <c r="U135" s="5"/>
      <c r="V135" s="5"/>
      <c r="W135" s="5"/>
      <c r="Z135" s="10"/>
    </row>
    <row r="136" spans="1:26" s="1" customFormat="1" ht="22" customHeight="1">
      <c r="A136" s="33"/>
      <c r="B136" s="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"/>
      <c r="V136" s="5"/>
      <c r="W136" s="5"/>
      <c r="X136" s="5"/>
      <c r="Y136" s="5"/>
      <c r="Z136" s="2"/>
    </row>
    <row r="137" spans="1:26" s="1" customFormat="1" ht="22" customHeight="1">
      <c r="A137" s="33"/>
      <c r="B137" s="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4"/>
      <c r="V137" s="4"/>
      <c r="W137" s="4"/>
      <c r="X137" s="5"/>
      <c r="Y137" s="5"/>
    </row>
    <row r="138" spans="1:26" s="1" customFormat="1" ht="18" customHeight="1">
      <c r="A138" s="33"/>
      <c r="B138" s="7"/>
      <c r="F138" s="10"/>
      <c r="G138" s="10"/>
      <c r="H138" s="10"/>
      <c r="I138" s="1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4"/>
      <c r="W138" s="4"/>
    </row>
    <row r="139" spans="1:26" s="1" customFormat="1" ht="22" customHeight="1">
      <c r="A139" s="33"/>
      <c r="I139" s="2"/>
      <c r="U139" s="5"/>
      <c r="V139" s="5"/>
      <c r="W139" s="5"/>
    </row>
    <row r="140" spans="1:26" s="1" customFormat="1" ht="22" customHeight="1">
      <c r="A140" s="33"/>
      <c r="U140" s="5"/>
      <c r="V140" s="5"/>
      <c r="W140" s="5"/>
    </row>
    <row r="141" spans="1:26" ht="22" customHeight="1">
      <c r="A141" s="3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4"/>
      <c r="W141" s="4"/>
      <c r="X141" s="1"/>
      <c r="Y141" s="1"/>
      <c r="Z141" s="1"/>
    </row>
    <row r="142" spans="1:26" ht="22" customHeight="1">
      <c r="A142" s="33"/>
      <c r="B142" s="30"/>
      <c r="C142" s="30"/>
      <c r="D142" s="30"/>
      <c r="E142" s="30"/>
      <c r="F142" s="30"/>
      <c r="G142" s="30"/>
      <c r="H142" s="3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4"/>
      <c r="Y142" s="4"/>
      <c r="Z142" s="1"/>
    </row>
    <row r="143" spans="1:26" ht="22" customHeight="1">
      <c r="A143" s="33"/>
      <c r="C143" s="33"/>
      <c r="D143" s="33"/>
      <c r="E143" s="3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/>
      <c r="V143" s="5"/>
      <c r="W143" s="5"/>
      <c r="X143" s="1"/>
      <c r="Y143" s="1"/>
      <c r="Z143" s="1"/>
    </row>
    <row r="144" spans="1:26" ht="22" customHeight="1">
      <c r="A144" s="52"/>
      <c r="B144" s="31"/>
      <c r="C144" s="53"/>
      <c r="D144" s="53"/>
      <c r="E144" s="53"/>
      <c r="F144" s="53"/>
      <c r="G144" s="53"/>
      <c r="H144" s="5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1"/>
      <c r="Y144" s="1"/>
      <c r="Z144" s="1"/>
    </row>
    <row r="145" spans="1:26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" customHeight="1">
      <c r="A146" s="2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0"/>
      <c r="Y146" s="10"/>
      <c r="Z146" s="1"/>
    </row>
    <row r="147" spans="1:26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0"/>
      <c r="Y147" s="10"/>
    </row>
    <row r="148" spans="1:26" ht="22" customHeight="1">
      <c r="A148" s="1"/>
      <c r="B148" s="1"/>
      <c r="C148" s="1"/>
      <c r="D148" s="1"/>
      <c r="E148" s="1"/>
      <c r="F148" s="54"/>
      <c r="G148" s="1"/>
      <c r="H148" s="1"/>
      <c r="I148" s="1"/>
      <c r="U148" s="1"/>
      <c r="V148" s="1"/>
      <c r="W148" s="1"/>
      <c r="X148" s="2"/>
      <c r="Y148" s="2"/>
    </row>
    <row r="149" spans="1:26" ht="22" customHeight="1">
      <c r="A149" s="1"/>
      <c r="D149" s="1"/>
      <c r="E149" s="1"/>
      <c r="F149" s="39"/>
      <c r="G149" s="1"/>
      <c r="U149" s="4"/>
      <c r="V149" s="4"/>
      <c r="W149" s="4"/>
      <c r="X149" s="1"/>
      <c r="Y149" s="1"/>
    </row>
    <row r="150" spans="1:26" ht="22" customHeight="1">
      <c r="A150" s="1"/>
      <c r="D150" s="1"/>
      <c r="E150" s="1"/>
      <c r="F150" s="39"/>
      <c r="G150" s="1"/>
      <c r="U150" s="1"/>
      <c r="V150" s="1"/>
      <c r="W150" s="1"/>
      <c r="X150" s="1"/>
      <c r="Y150" s="1"/>
    </row>
    <row r="151" spans="1:26" ht="22" customHeight="1">
      <c r="A151" s="1"/>
      <c r="D151" s="1"/>
      <c r="E151" s="1"/>
      <c r="F151" s="39"/>
      <c r="G151" s="1"/>
      <c r="U151" s="1"/>
      <c r="V151" s="1"/>
      <c r="W151" s="1"/>
      <c r="X151" s="1"/>
      <c r="Y151" s="1"/>
    </row>
    <row r="152" spans="1:26" ht="22" customHeight="1">
      <c r="A152" s="1"/>
      <c r="D152" s="1"/>
      <c r="E152" s="1"/>
      <c r="F152" s="1"/>
      <c r="G152" s="1"/>
      <c r="U152" s="1"/>
      <c r="V152" s="1"/>
      <c r="W152" s="1"/>
      <c r="X152" s="1"/>
      <c r="Y152" s="1"/>
    </row>
    <row r="153" spans="1:26" ht="22" customHeight="1">
      <c r="A153" s="25"/>
      <c r="D153" s="1"/>
      <c r="E153" s="1"/>
      <c r="F153" s="39"/>
      <c r="G153" s="1"/>
      <c r="U153" s="10"/>
      <c r="V153" s="10"/>
      <c r="W153" s="10"/>
      <c r="X153" s="1"/>
      <c r="Y153" s="1"/>
    </row>
    <row r="154" spans="1:26" ht="22" customHeight="1">
      <c r="A154" s="1"/>
      <c r="D154" s="1"/>
      <c r="E154" s="1"/>
      <c r="F154" s="1"/>
      <c r="G154" s="1"/>
      <c r="U154" s="10"/>
      <c r="V154" s="10"/>
      <c r="W154" s="10"/>
      <c r="X154" s="1"/>
      <c r="Y154" s="1"/>
    </row>
    <row r="155" spans="1:26" ht="22" customHeight="1">
      <c r="A155" s="33"/>
      <c r="D155" s="39"/>
      <c r="E155" s="1"/>
      <c r="F155" s="39"/>
      <c r="G155" s="1"/>
      <c r="U155" s="2"/>
      <c r="V155" s="2"/>
      <c r="W155" s="2"/>
      <c r="X155" s="1"/>
      <c r="Y155" s="1"/>
    </row>
    <row r="156" spans="1:26" ht="22" customHeight="1">
      <c r="A156" s="33"/>
      <c r="D156" s="1"/>
      <c r="E156" s="1"/>
      <c r="F156" s="39"/>
      <c r="G156" s="1"/>
      <c r="U156" s="1"/>
      <c r="V156" s="1"/>
      <c r="W156" s="1"/>
      <c r="X156" s="1"/>
      <c r="Y156" s="1"/>
    </row>
    <row r="157" spans="1:26" ht="22" customHeight="1">
      <c r="A157" s="1"/>
      <c r="C157" s="1"/>
      <c r="D157" s="1"/>
      <c r="E157" s="1"/>
      <c r="F157" s="1"/>
      <c r="G157" s="1"/>
      <c r="U157" s="1"/>
      <c r="V157" s="1"/>
      <c r="W157" s="1"/>
      <c r="X157" s="1"/>
      <c r="Y157" s="1"/>
    </row>
    <row r="158" spans="1:26" ht="22" customHeight="1">
      <c r="A158" s="33"/>
      <c r="C158" s="1"/>
      <c r="D158" s="1"/>
      <c r="E158" s="1"/>
      <c r="F158" s="1"/>
      <c r="G158" s="1"/>
      <c r="U158" s="1"/>
      <c r="V158" s="1"/>
      <c r="W158" s="1"/>
    </row>
    <row r="159" spans="1:26" ht="22" customHeight="1">
      <c r="A159" s="33"/>
      <c r="C159" s="1"/>
      <c r="D159" s="1"/>
      <c r="E159" s="1"/>
      <c r="F159" s="1"/>
      <c r="G159" s="1"/>
      <c r="U159" s="1"/>
      <c r="V159" s="1"/>
      <c r="W159" s="1"/>
    </row>
    <row r="160" spans="1:26" ht="22" customHeight="1">
      <c r="A160" s="33"/>
      <c r="C160" s="1"/>
      <c r="D160" s="1"/>
      <c r="E160" s="1"/>
      <c r="F160" s="1"/>
      <c r="U160" s="1"/>
      <c r="V160" s="1"/>
      <c r="W160" s="1"/>
    </row>
    <row r="161" spans="1:8" ht="22" customHeight="1">
      <c r="A161" s="33"/>
      <c r="C161" s="1"/>
      <c r="D161" s="1"/>
      <c r="E161" s="1"/>
      <c r="F161" s="1"/>
    </row>
    <row r="162" spans="1:8" ht="22" customHeight="1">
      <c r="A162" s="33"/>
      <c r="C162" s="1"/>
      <c r="D162" s="1"/>
      <c r="E162" s="1"/>
      <c r="F162" s="39"/>
    </row>
    <row r="163" spans="1:8" ht="22" customHeight="1">
      <c r="A163" s="33"/>
      <c r="C163" s="1"/>
      <c r="D163" s="1"/>
      <c r="E163" s="1"/>
      <c r="F163" s="39"/>
    </row>
    <row r="164" spans="1:8" ht="22" customHeight="1">
      <c r="A164" s="33"/>
      <c r="C164" s="1"/>
      <c r="D164" s="1"/>
      <c r="E164" s="1"/>
      <c r="F164" s="1"/>
    </row>
    <row r="165" spans="1:8" ht="22" customHeight="1">
      <c r="A165" s="33"/>
    </row>
    <row r="166" spans="1:8" ht="22" customHeight="1">
      <c r="A166" s="44"/>
    </row>
    <row r="167" spans="1:8" ht="22" customHeight="1">
      <c r="A167" s="33"/>
    </row>
    <row r="168" spans="1:8" ht="22" customHeight="1">
      <c r="A168" s="33"/>
      <c r="F168" s="55"/>
    </row>
    <row r="169" spans="1:8" ht="22" customHeight="1">
      <c r="A169" s="33"/>
      <c r="F169" s="55"/>
    </row>
    <row r="170" spans="1:8" ht="22" customHeight="1">
      <c r="A170" s="33"/>
      <c r="F170" s="55"/>
    </row>
    <row r="171" spans="1:8" ht="22" customHeight="1">
      <c r="A171" s="1"/>
    </row>
    <row r="172" spans="1:8" ht="22" customHeight="1">
      <c r="A172" s="1"/>
    </row>
    <row r="173" spans="1:8" ht="22" customHeight="1">
      <c r="A173" s="44"/>
    </row>
    <row r="174" spans="1:8" ht="22" customHeight="1">
      <c r="A174" s="33"/>
      <c r="B174" s="1"/>
      <c r="C174" s="1"/>
      <c r="D174" s="1"/>
      <c r="E174" s="1"/>
      <c r="F174" s="1"/>
      <c r="G174" s="1"/>
      <c r="H174" s="1"/>
    </row>
    <row r="175" spans="1:8" ht="22" customHeight="1">
      <c r="A175" s="4"/>
      <c r="B175" s="1"/>
      <c r="C175" s="1"/>
      <c r="D175" s="1"/>
      <c r="E175" s="1"/>
      <c r="F175" s="1"/>
      <c r="G175" s="1"/>
      <c r="H175" s="1"/>
    </row>
    <row r="176" spans="1:8" ht="22" customHeight="1">
      <c r="A176" s="1"/>
      <c r="B176" s="1"/>
      <c r="C176" s="1"/>
      <c r="D176" s="1"/>
      <c r="E176" s="1"/>
      <c r="F176" s="1"/>
      <c r="G176" s="1"/>
      <c r="H176" s="1"/>
    </row>
    <row r="177" spans="1:9" ht="22" customHeight="1">
      <c r="A177" s="4"/>
      <c r="B177" s="1"/>
      <c r="C177" s="1"/>
      <c r="D177" s="1"/>
      <c r="E177" s="1"/>
      <c r="F177" s="1"/>
      <c r="G177" s="1"/>
      <c r="H177" s="1"/>
    </row>
    <row r="178" spans="1:9" ht="22" customHeight="1">
      <c r="A178" s="4"/>
      <c r="B178" s="1"/>
      <c r="C178" s="1"/>
      <c r="D178" s="1"/>
      <c r="E178" s="1"/>
      <c r="F178" s="1"/>
      <c r="G178" s="1"/>
      <c r="H178" s="1"/>
    </row>
    <row r="179" spans="1:9" ht="22" customHeight="1">
      <c r="A179" s="4"/>
      <c r="B179" s="1"/>
      <c r="C179" s="1"/>
      <c r="D179" s="1"/>
      <c r="E179" s="1"/>
      <c r="F179" s="1"/>
      <c r="G179" s="1"/>
      <c r="H179" s="1"/>
    </row>
    <row r="180" spans="1:9" ht="22" customHeight="1">
      <c r="A180" s="1"/>
      <c r="B180" s="1"/>
      <c r="C180" s="1"/>
      <c r="D180" s="1"/>
      <c r="E180" s="1"/>
      <c r="F180" s="1"/>
      <c r="G180" s="1"/>
      <c r="H180" s="1"/>
    </row>
    <row r="181" spans="1:9" ht="22" customHeight="1">
      <c r="A181" s="4"/>
      <c r="B181" s="14"/>
      <c r="C181" s="14"/>
      <c r="D181" s="14"/>
      <c r="E181" s="14"/>
      <c r="F181" s="14"/>
      <c r="G181" s="14"/>
      <c r="H181" s="14"/>
      <c r="I181" s="14"/>
    </row>
    <row r="182" spans="1:9" ht="22" customHeight="1">
      <c r="A182" s="4"/>
      <c r="B182" s="1"/>
      <c r="C182" s="1"/>
      <c r="D182" s="1"/>
      <c r="E182" s="1"/>
      <c r="G182" s="39"/>
      <c r="H182" s="39"/>
      <c r="I182" s="39"/>
    </row>
    <row r="183" spans="1:9" ht="22" customHeight="1">
      <c r="A183" s="4"/>
      <c r="G183" s="1"/>
      <c r="H183" s="1"/>
      <c r="I183" s="1"/>
    </row>
    <row r="184" spans="1:9" ht="22" customHeight="1">
      <c r="A184" s="1"/>
    </row>
    <row r="185" spans="1:9" ht="22" customHeight="1">
      <c r="A185" s="4"/>
      <c r="B185" s="39"/>
    </row>
    <row r="186" spans="1:9" ht="22" customHeight="1">
      <c r="A186" s="4"/>
      <c r="B186" s="38"/>
    </row>
    <row r="187" spans="1:9" ht="22" customHeight="1">
      <c r="A187" s="4"/>
    </row>
    <row r="188" spans="1:9" ht="22" customHeight="1">
      <c r="A188" s="4"/>
      <c r="B188" s="14"/>
    </row>
    <row r="189" spans="1:9" ht="22" customHeight="1">
      <c r="A189" s="4"/>
      <c r="B189" s="1"/>
    </row>
    <row r="190" spans="1:9" ht="22" customHeight="1">
      <c r="A190" s="4"/>
      <c r="B190" s="14"/>
    </row>
    <row r="191" spans="1:9" ht="22" customHeight="1">
      <c r="A191" s="4"/>
      <c r="B191" s="1"/>
    </row>
    <row r="192" spans="1:9" ht="22" customHeight="1">
      <c r="A192" s="4"/>
      <c r="B192" s="14"/>
    </row>
    <row r="193" spans="1:9" ht="22" customHeight="1">
      <c r="A193" s="4"/>
      <c r="B193" s="14"/>
    </row>
    <row r="194" spans="1:9" ht="22" customHeight="1">
      <c r="A194" s="1"/>
    </row>
    <row r="195" spans="1:9" ht="22" customHeight="1">
      <c r="A195" s="1"/>
    </row>
    <row r="196" spans="1:9" ht="22" customHeight="1">
      <c r="A196" s="44"/>
    </row>
    <row r="197" spans="1:9" ht="22" customHeight="1">
      <c r="A197" s="33"/>
      <c r="B197" s="1"/>
      <c r="C197" s="1"/>
      <c r="D197" s="1"/>
      <c r="E197" s="1"/>
      <c r="F197" s="1"/>
      <c r="G197" s="1"/>
      <c r="H197" s="1"/>
      <c r="I197" s="1"/>
    </row>
    <row r="198" spans="1:9" ht="22" customHeight="1">
      <c r="A198" s="33"/>
      <c r="B198" s="28"/>
      <c r="C198" s="28"/>
      <c r="D198" s="28"/>
      <c r="E198" s="28"/>
      <c r="F198" s="28"/>
      <c r="G198" s="28"/>
      <c r="H198" s="28"/>
      <c r="I198" s="1"/>
    </row>
    <row r="199" spans="1:9" ht="22" customHeight="1">
      <c r="A199" s="33"/>
      <c r="B199" s="1"/>
      <c r="C199" s="1"/>
      <c r="D199" s="1"/>
      <c r="E199" s="1"/>
      <c r="F199" s="1"/>
      <c r="G199" s="1"/>
      <c r="H199" s="1"/>
      <c r="I199" s="1"/>
    </row>
    <row r="200" spans="1:9" ht="22" customHeight="1">
      <c r="A200" s="33"/>
      <c r="B200" s="1"/>
      <c r="C200" s="1"/>
      <c r="D200" s="1"/>
      <c r="E200" s="1"/>
      <c r="F200" s="1"/>
      <c r="G200" s="1"/>
      <c r="H200" s="1"/>
      <c r="I200" s="1"/>
    </row>
    <row r="201" spans="1:9" ht="22" customHeight="1">
      <c r="A201" s="33"/>
      <c r="B201" s="1"/>
      <c r="C201" s="1"/>
      <c r="D201" s="1"/>
      <c r="E201" s="1"/>
      <c r="F201" s="1"/>
      <c r="G201" s="1"/>
      <c r="H201" s="1"/>
      <c r="I201" s="1"/>
    </row>
    <row r="202" spans="1:9" ht="22" customHeight="1">
      <c r="A202" s="33"/>
      <c r="B202" s="1"/>
      <c r="C202" s="1"/>
      <c r="D202" s="1"/>
      <c r="E202" s="1"/>
      <c r="F202" s="1"/>
      <c r="G202" s="1"/>
      <c r="H202" s="1"/>
      <c r="I202" s="1"/>
    </row>
    <row r="203" spans="1:9" ht="22" customHeight="1">
      <c r="A203" s="33"/>
      <c r="B203" s="1"/>
      <c r="C203" s="1"/>
      <c r="D203" s="1"/>
      <c r="E203" s="1"/>
      <c r="F203" s="1"/>
      <c r="G203" s="1"/>
      <c r="H203" s="1"/>
      <c r="I203" s="1"/>
    </row>
    <row r="204" spans="1:9" ht="22" customHeight="1">
      <c r="A204" s="33"/>
      <c r="B204" s="39"/>
      <c r="C204" s="39"/>
      <c r="D204" s="39"/>
      <c r="E204" s="39"/>
      <c r="F204" s="39"/>
      <c r="G204" s="39"/>
      <c r="H204" s="39"/>
      <c r="I204" s="1"/>
    </row>
    <row r="205" spans="1:9" ht="22" customHeight="1">
      <c r="A205" s="33"/>
      <c r="B205" s="1"/>
      <c r="C205" s="39"/>
      <c r="D205" s="39"/>
      <c r="E205" s="39"/>
      <c r="F205" s="39"/>
      <c r="G205" s="39"/>
      <c r="H205" s="39"/>
      <c r="I205" s="1"/>
    </row>
    <row r="206" spans="1:9" ht="22" customHeight="1">
      <c r="A206" s="33"/>
      <c r="B206" s="39"/>
      <c r="C206" s="39"/>
      <c r="D206" s="39"/>
      <c r="E206" s="39"/>
      <c r="F206" s="39"/>
      <c r="G206" s="39"/>
      <c r="H206" s="39"/>
      <c r="I206" s="1"/>
    </row>
    <row r="207" spans="1:9" ht="22" customHeight="1">
      <c r="A207" s="33"/>
      <c r="B207" s="54"/>
      <c r="C207" s="54"/>
      <c r="D207" s="54"/>
      <c r="E207" s="54"/>
      <c r="F207" s="54"/>
      <c r="G207" s="54"/>
      <c r="H207" s="54"/>
      <c r="I207" s="1"/>
    </row>
    <row r="208" spans="1:9" ht="22" customHeight="1">
      <c r="A208" s="33"/>
      <c r="B208" s="54"/>
      <c r="C208" s="54"/>
      <c r="D208" s="54"/>
      <c r="E208" s="54"/>
      <c r="F208" s="54"/>
      <c r="G208" s="54"/>
      <c r="H208" s="54"/>
      <c r="I208" s="1"/>
    </row>
    <row r="209" spans="1:9" ht="22" customHeight="1">
      <c r="A209" s="33"/>
      <c r="B209" s="38"/>
      <c r="C209" s="38"/>
      <c r="D209" s="38"/>
      <c r="E209" s="38"/>
      <c r="F209" s="38"/>
      <c r="G209" s="1"/>
      <c r="H209" s="1"/>
      <c r="I209" s="1"/>
    </row>
    <row r="210" spans="1:9" ht="22" customHeight="1">
      <c r="A210" s="33"/>
      <c r="B210" s="41"/>
      <c r="C210" s="41"/>
      <c r="D210" s="41"/>
      <c r="E210" s="41"/>
      <c r="F210" s="41"/>
      <c r="G210" s="41"/>
      <c r="H210" s="41"/>
      <c r="I210" s="1"/>
    </row>
    <row r="211" spans="1:9" ht="22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>
      <c r="A212" s="25"/>
      <c r="B212" s="1"/>
      <c r="C212" s="1"/>
      <c r="D212" s="1"/>
      <c r="E212" s="1"/>
      <c r="F212" s="1"/>
      <c r="G212" s="1"/>
      <c r="H212" s="1"/>
      <c r="I212" s="1"/>
    </row>
    <row r="213" spans="1:9" ht="22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>
      <c r="A214" s="1"/>
      <c r="B214" s="30"/>
      <c r="C214" s="1"/>
      <c r="D214" s="1"/>
      <c r="E214" s="1"/>
      <c r="F214" s="1"/>
      <c r="G214" s="1"/>
      <c r="H214" s="1"/>
      <c r="I214" s="1"/>
    </row>
    <row r="215" spans="1:9" ht="22" customHeight="1">
      <c r="A215" s="1"/>
      <c r="B215" s="1"/>
      <c r="D215" s="1"/>
      <c r="E215" s="1"/>
      <c r="F215" s="1"/>
      <c r="G215" s="1"/>
      <c r="H215" s="1"/>
      <c r="I215" s="1"/>
    </row>
    <row r="216" spans="1:9" ht="22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>
      <c r="A218" s="1"/>
      <c r="B218" s="14"/>
      <c r="C218" s="1"/>
      <c r="D218" s="1"/>
      <c r="E218" s="1"/>
      <c r="F218" s="1"/>
      <c r="G218" s="1"/>
      <c r="H218" s="1"/>
      <c r="I218" s="1"/>
    </row>
    <row r="219" spans="1:9" ht="22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>
      <c r="A221" s="1"/>
      <c r="B221" s="14"/>
      <c r="C221" s="1"/>
      <c r="D221" s="1"/>
      <c r="E221" s="1"/>
      <c r="F221" s="1"/>
      <c r="G221" s="1"/>
      <c r="H221" s="1"/>
      <c r="I221" s="1"/>
    </row>
    <row r="222" spans="1:9" ht="22" customHeight="1">
      <c r="A222" s="1"/>
      <c r="B222" s="14"/>
      <c r="C222" s="1"/>
      <c r="D222" s="1"/>
      <c r="E222" s="1"/>
      <c r="F222" s="1"/>
      <c r="G222" s="1"/>
      <c r="H222" s="1"/>
      <c r="I222" s="1"/>
    </row>
    <row r="223" spans="1:9" ht="22" customHeight="1">
      <c r="A223" s="1"/>
      <c r="B223" s="1"/>
      <c r="C223" s="1"/>
      <c r="D223" s="1"/>
      <c r="E223" s="1"/>
      <c r="F223" s="1"/>
      <c r="G223" s="1"/>
      <c r="H223" s="1"/>
      <c r="I223" s="1"/>
    </row>
  </sheetData>
  <phoneticPr fontId="0" type="noConversion"/>
  <pageMargins left="0.75" right="0.75" top="1" bottom="1" header="0.5" footer="0.5"/>
  <pageSetup scale="40" orientation="landscape" horizontalDpi="4294967292" verticalDpi="4294967292"/>
  <headerFooter alignWithMargins="0"/>
  <ignoredErrors>
    <ignoredError sqref="E20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40D6-5043-724A-BACF-C1FB5A3EB0FF}">
  <dimension ref="A1:Z223"/>
  <sheetViews>
    <sheetView showGridLines="0" zoomScale="75" zoomScaleNormal="100" workbookViewId="0">
      <pane xSplit="1" ySplit="4" topLeftCell="C6" activePane="bottomRight" state="frozen"/>
      <selection pane="topRight" activeCell="B1" sqref="B1"/>
      <selection pane="bottomLeft" activeCell="A8" sqref="A8"/>
      <selection pane="bottomRight" activeCell="D35" sqref="D35"/>
    </sheetView>
  </sheetViews>
  <sheetFormatPr baseColWidth="10" defaultColWidth="9.33203125" defaultRowHeight="22" customHeight="1"/>
  <cols>
    <col min="1" max="1" width="64.6640625" style="7" customWidth="1"/>
    <col min="2" max="2" width="12.83203125" style="7" hidden="1" customWidth="1"/>
    <col min="3" max="3" width="19.83203125" style="7" customWidth="1"/>
    <col min="4" max="4" width="27.1640625" style="7" customWidth="1"/>
    <col min="5" max="5" width="26.6640625" style="7" customWidth="1"/>
    <col min="6" max="6" width="11" style="7" customWidth="1"/>
    <col min="7" max="7" width="12.83203125" style="7" customWidth="1"/>
    <col min="8" max="8" width="48.33203125" style="7" customWidth="1"/>
    <col min="9" max="9" width="13" style="7" customWidth="1"/>
    <col min="10" max="10" width="28.6640625" style="7" customWidth="1"/>
    <col min="11" max="11" width="18.6640625" style="7" customWidth="1"/>
    <col min="12" max="12" width="36.6640625" style="7" customWidth="1"/>
    <col min="13" max="20" width="12.83203125" style="7" customWidth="1"/>
    <col min="21" max="21" width="13.33203125" style="7" bestFit="1" customWidth="1"/>
    <col min="22" max="25" width="12.83203125" style="7" customWidth="1"/>
    <col min="26" max="26" width="14.1640625" style="7" bestFit="1" customWidth="1"/>
    <col min="27" max="16384" width="9.33203125" style="7"/>
  </cols>
  <sheetData>
    <row r="1" spans="1:23" s="1" customFormat="1" ht="22" customHeight="1">
      <c r="A1" s="56" t="s">
        <v>0</v>
      </c>
      <c r="B1" s="57"/>
      <c r="C1" s="57"/>
      <c r="D1" s="57"/>
      <c r="E1" s="57"/>
      <c r="F1" s="57"/>
      <c r="G1" s="57"/>
      <c r="H1" s="57"/>
    </row>
    <row r="2" spans="1:23" s="1" customFormat="1" ht="22" customHeight="1">
      <c r="A2" s="57" t="s">
        <v>1</v>
      </c>
      <c r="B2" s="57"/>
      <c r="C2" s="57"/>
      <c r="D2" s="57"/>
      <c r="E2" s="57"/>
      <c r="F2" s="57"/>
      <c r="G2" s="59"/>
      <c r="H2" s="59"/>
      <c r="J2" s="11"/>
      <c r="K2" s="11"/>
      <c r="O2" s="11"/>
      <c r="P2" s="11"/>
      <c r="T2" s="11"/>
      <c r="U2" s="21"/>
    </row>
    <row r="3" spans="1:23" s="1" customFormat="1" ht="22" customHeight="1">
      <c r="A3" s="57" t="s">
        <v>2</v>
      </c>
      <c r="B3" s="57"/>
      <c r="C3" s="57"/>
      <c r="D3" s="57"/>
      <c r="E3" s="57"/>
      <c r="F3" s="57"/>
      <c r="G3" s="59"/>
      <c r="H3" s="59"/>
      <c r="J3" s="11"/>
      <c r="K3" s="11"/>
      <c r="O3" s="11"/>
      <c r="P3" s="11"/>
      <c r="T3" s="11"/>
      <c r="U3" s="11"/>
    </row>
    <row r="4" spans="1:23" s="1" customFormat="1" ht="22" customHeight="1">
      <c r="A4" s="132"/>
      <c r="B4" s="133"/>
      <c r="C4" s="133"/>
      <c r="D4" s="133"/>
      <c r="E4" s="133"/>
      <c r="F4" s="134"/>
      <c r="G4" s="134"/>
      <c r="H4" s="134"/>
      <c r="I4" s="134"/>
      <c r="J4" s="9"/>
      <c r="K4" s="9"/>
      <c r="L4" s="9"/>
      <c r="M4" s="9"/>
      <c r="O4" s="9"/>
      <c r="P4" s="9"/>
      <c r="Q4" s="9"/>
      <c r="R4" s="9"/>
      <c r="T4" s="9"/>
      <c r="U4" s="9"/>
      <c r="V4" s="9"/>
      <c r="W4" s="9"/>
    </row>
    <row r="5" spans="1:23" s="1" customFormat="1" ht="22" customHeight="1" thickBot="1">
      <c r="A5" s="101" t="s">
        <v>90</v>
      </c>
      <c r="B5" s="101" t="s">
        <v>91</v>
      </c>
      <c r="C5" s="101" t="s">
        <v>92</v>
      </c>
      <c r="D5" s="101" t="s">
        <v>93</v>
      </c>
      <c r="E5" s="101" t="s">
        <v>94</v>
      </c>
      <c r="F5" s="102"/>
      <c r="G5" s="102"/>
    </row>
    <row r="6" spans="1:23" s="1" customFormat="1" ht="22" customHeight="1">
      <c r="A6" s="141" t="s">
        <v>95</v>
      </c>
      <c r="B6" s="139">
        <v>4</v>
      </c>
      <c r="C6" s="140">
        <v>2026</v>
      </c>
      <c r="D6" s="142">
        <v>346</v>
      </c>
      <c r="E6" s="140" t="s">
        <v>96</v>
      </c>
      <c r="F6" s="102"/>
      <c r="G6" s="102"/>
      <c r="H6" s="174" t="s">
        <v>125</v>
      </c>
      <c r="I6" s="175"/>
      <c r="J6" s="176" t="s">
        <v>124</v>
      </c>
      <c r="K6" s="176"/>
      <c r="L6" s="177" t="s">
        <v>122</v>
      </c>
    </row>
    <row r="7" spans="1:23" s="2" customFormat="1" ht="22" customHeight="1">
      <c r="A7" s="141" t="s">
        <v>95</v>
      </c>
      <c r="B7" s="139">
        <v>3.7</v>
      </c>
      <c r="C7" s="140">
        <v>2026</v>
      </c>
      <c r="D7" s="142">
        <v>86</v>
      </c>
      <c r="E7" s="140" t="s">
        <v>96</v>
      </c>
      <c r="F7" s="102"/>
      <c r="G7" s="102"/>
      <c r="H7" s="178" t="s">
        <v>111</v>
      </c>
      <c r="I7" s="187">
        <v>4.9500000000000002E-2</v>
      </c>
      <c r="J7" s="195" t="s">
        <v>119</v>
      </c>
      <c r="K7" s="56">
        <v>46073</v>
      </c>
      <c r="L7" s="179" t="s">
        <v>123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s="1" customFormat="1" ht="22" customHeight="1">
      <c r="A8" s="141" t="s">
        <v>95</v>
      </c>
      <c r="B8" s="139">
        <v>2.9</v>
      </c>
      <c r="C8" s="140">
        <v>2027</v>
      </c>
      <c r="D8" s="142">
        <v>582</v>
      </c>
      <c r="E8" s="140" t="s">
        <v>96</v>
      </c>
      <c r="F8" s="102"/>
      <c r="G8" s="102"/>
      <c r="H8" s="180" t="s">
        <v>116</v>
      </c>
      <c r="I8" s="196">
        <v>95.85</v>
      </c>
      <c r="J8" s="197" t="s">
        <v>118</v>
      </c>
      <c r="K8" s="56">
        <v>47863</v>
      </c>
      <c r="L8" s="194">
        <f>(K9-I9)*10000</f>
        <v>184.60000000000005</v>
      </c>
      <c r="M8" s="173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s="1" customFormat="1" ht="22" customHeight="1">
      <c r="A9" s="141" t="s">
        <v>95</v>
      </c>
      <c r="B9" s="139">
        <v>3.375</v>
      </c>
      <c r="C9" s="140">
        <v>2028</v>
      </c>
      <c r="D9" s="142">
        <v>498</v>
      </c>
      <c r="E9" s="140" t="s">
        <v>96</v>
      </c>
      <c r="F9" s="104"/>
      <c r="G9" s="104"/>
      <c r="H9" s="180" t="s">
        <v>121</v>
      </c>
      <c r="I9" s="193">
        <v>4.0869999999999997E-2</v>
      </c>
      <c r="J9" s="197" t="s">
        <v>117</v>
      </c>
      <c r="K9" s="187">
        <v>5.9330000000000001E-2</v>
      </c>
      <c r="L9" s="200">
        <f>DURATION(K7,K8,I7,I9,2,0)</f>
        <v>4.4044706271747875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s="1" customFormat="1" ht="22" customHeight="1">
      <c r="A10" s="141" t="s">
        <v>95</v>
      </c>
      <c r="B10" s="139">
        <v>3.7</v>
      </c>
      <c r="C10" s="140">
        <v>2028</v>
      </c>
      <c r="D10" s="142">
        <v>496</v>
      </c>
      <c r="E10" s="140" t="s">
        <v>96</v>
      </c>
      <c r="H10" s="184" t="s">
        <v>113</v>
      </c>
      <c r="I10" s="185" t="s">
        <v>112</v>
      </c>
      <c r="J10" s="185" t="s">
        <v>114</v>
      </c>
      <c r="K10" s="185" t="s">
        <v>111</v>
      </c>
      <c r="L10" s="186" t="s">
        <v>115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s="1" customFormat="1" ht="22" customHeight="1" thickBot="1">
      <c r="A11" s="141" t="s">
        <v>95</v>
      </c>
      <c r="B11" s="139">
        <v>4.2</v>
      </c>
      <c r="C11" s="140">
        <v>2029</v>
      </c>
      <c r="D11" s="142">
        <v>496</v>
      </c>
      <c r="E11" s="140" t="s">
        <v>96</v>
      </c>
      <c r="F11" s="102"/>
      <c r="G11" s="102"/>
      <c r="H11" s="181" t="s">
        <v>108</v>
      </c>
      <c r="I11" s="198">
        <v>150</v>
      </c>
      <c r="J11" s="188">
        <f>PRICE($K$7,$K$8,$I$7,($I$9+I11/10000),100,2,0)</f>
        <v>97.295443238519894</v>
      </c>
      <c r="K11" s="199">
        <v>4.95</v>
      </c>
      <c r="L11" s="191">
        <f>(J11-$I$8+K11)/$I$8</f>
        <v>6.6723455800937928E-2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s="1" customFormat="1" ht="22" customHeight="1">
      <c r="A12" s="143" t="s">
        <v>97</v>
      </c>
      <c r="B12" s="144">
        <v>7.875</v>
      </c>
      <c r="C12" s="145">
        <v>2030</v>
      </c>
      <c r="D12" s="146">
        <v>829</v>
      </c>
      <c r="E12" s="147" t="s">
        <v>96</v>
      </c>
      <c r="F12" s="102"/>
      <c r="G12" s="102"/>
      <c r="H12" s="181" t="s">
        <v>109</v>
      </c>
      <c r="I12" s="198">
        <f>L8</f>
        <v>184.60000000000005</v>
      </c>
      <c r="J12" s="188">
        <f>PRICE($K$7,$K$8,$I$7,($I$9+I12/10000),100,2,0)</f>
        <v>95.865085573615247</v>
      </c>
      <c r="K12" s="199">
        <v>4.95</v>
      </c>
      <c r="L12" s="191">
        <f>(J12-$I$8+K12)/$I$8</f>
        <v>5.1800579797759545E-2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22" customHeight="1" thickBot="1">
      <c r="A13" s="148" t="s">
        <v>95</v>
      </c>
      <c r="B13" s="149">
        <v>4.95</v>
      </c>
      <c r="C13" s="150">
        <v>2031</v>
      </c>
      <c r="D13" s="151">
        <v>1232</v>
      </c>
      <c r="E13" s="152" t="s">
        <v>96</v>
      </c>
      <c r="F13" s="102"/>
      <c r="G13" s="102"/>
      <c r="H13" s="180" t="s">
        <v>110</v>
      </c>
      <c r="I13" s="198">
        <v>350</v>
      </c>
      <c r="J13" s="188">
        <f>PRICE($K$7,$K$8,$I$7,($I$9+I13/10000),100,2,0)</f>
        <v>89.36184224369832</v>
      </c>
      <c r="K13" s="199">
        <v>4.95</v>
      </c>
      <c r="L13" s="191">
        <f>(J13-$I$8+K13)/$I$8</f>
        <v>-1.6047550926465048E-2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22" customHeight="1" thickBot="1">
      <c r="A14" s="141" t="s">
        <v>95</v>
      </c>
      <c r="B14" s="139">
        <v>4.2</v>
      </c>
      <c r="C14" s="140">
        <v>2032</v>
      </c>
      <c r="D14" s="142">
        <v>980</v>
      </c>
      <c r="E14" s="140" t="s">
        <v>96</v>
      </c>
      <c r="F14" s="102"/>
      <c r="G14" s="102"/>
      <c r="H14" s="182" t="s">
        <v>120</v>
      </c>
      <c r="I14" s="183">
        <v>700</v>
      </c>
      <c r="J14" s="189">
        <f>PRICE($K$7,$K$8,$I$7,($I$9+I14/10000),100,2,0)</f>
        <v>77.248922467213319</v>
      </c>
      <c r="K14" s="190">
        <v>4.95</v>
      </c>
      <c r="L14" s="192">
        <f>(J14-$I$8+K14)/$I$8</f>
        <v>-0.14242125751472798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s="1" customFormat="1" ht="22" customHeight="1">
      <c r="A15" s="141" t="s">
        <v>97</v>
      </c>
      <c r="B15" s="139">
        <v>5.5</v>
      </c>
      <c r="C15" s="140">
        <v>2033</v>
      </c>
      <c r="D15" s="142">
        <v>428</v>
      </c>
      <c r="E15" s="140" t="s">
        <v>96</v>
      </c>
      <c r="F15" s="102"/>
      <c r="G15" s="102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s="1" customFormat="1" ht="22" customHeight="1">
      <c r="A16" s="141" t="s">
        <v>97</v>
      </c>
      <c r="B16" s="139">
        <v>4.8499999999999996</v>
      </c>
      <c r="C16" s="140">
        <v>2034</v>
      </c>
      <c r="D16" s="142">
        <v>87</v>
      </c>
      <c r="E16" s="140" t="s">
        <v>96</v>
      </c>
      <c r="F16" s="102"/>
      <c r="G16" s="10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5" s="2" customFormat="1" ht="22" customHeight="1">
      <c r="A17" s="141" t="s">
        <v>97</v>
      </c>
      <c r="B17" s="139">
        <v>6.875</v>
      </c>
      <c r="C17" s="140">
        <v>2036</v>
      </c>
      <c r="D17" s="142">
        <v>1072</v>
      </c>
      <c r="E17" s="140" t="s">
        <v>96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5" s="4" customFormat="1" ht="22" customHeight="1">
      <c r="A18" s="141" t="s">
        <v>97</v>
      </c>
      <c r="B18" s="139">
        <v>6.75</v>
      </c>
      <c r="C18" s="140">
        <v>2037</v>
      </c>
      <c r="D18" s="142">
        <v>76</v>
      </c>
      <c r="E18" s="140" t="s">
        <v>96</v>
      </c>
      <c r="F18" s="57"/>
      <c r="G18" s="57"/>
    </row>
    <row r="19" spans="1:25" s="4" customFormat="1" ht="22" customHeight="1">
      <c r="A19" s="141" t="s">
        <v>95</v>
      </c>
      <c r="B19" s="139">
        <v>5.9</v>
      </c>
      <c r="C19" s="140">
        <v>2040</v>
      </c>
      <c r="D19" s="142">
        <v>298</v>
      </c>
      <c r="E19" s="140" t="s">
        <v>96</v>
      </c>
      <c r="F19" s="102"/>
      <c r="G19" s="102"/>
    </row>
    <row r="20" spans="1:25" s="2" customFormat="1" ht="22" customHeight="1">
      <c r="A20" s="141" t="s">
        <v>97</v>
      </c>
      <c r="B20" s="139">
        <v>4.5</v>
      </c>
      <c r="C20" s="140">
        <v>2042</v>
      </c>
      <c r="D20" s="142">
        <v>45</v>
      </c>
      <c r="E20" s="140" t="s">
        <v>96</v>
      </c>
      <c r="F20" s="102"/>
      <c r="G20" s="102"/>
    </row>
    <row r="21" spans="1:25" s="2" customFormat="1" ht="22" customHeight="1">
      <c r="A21" s="141" t="s">
        <v>95</v>
      </c>
      <c r="B21" s="139">
        <v>4.8499999999999996</v>
      </c>
      <c r="C21" s="140">
        <v>2042</v>
      </c>
      <c r="D21" s="142">
        <v>490</v>
      </c>
      <c r="E21" s="140" t="s">
        <v>96</v>
      </c>
      <c r="F21" s="102"/>
      <c r="G21" s="10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5" s="2" customFormat="1" ht="22" customHeight="1">
      <c r="A22" s="141" t="s">
        <v>97</v>
      </c>
      <c r="B22" s="139">
        <v>4.375</v>
      </c>
      <c r="C22" s="140">
        <v>2043</v>
      </c>
      <c r="D22" s="142">
        <v>1146</v>
      </c>
      <c r="E22" s="140" t="s">
        <v>96</v>
      </c>
      <c r="F22" s="79"/>
      <c r="G22" s="79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5" s="2" customFormat="1" ht="22" customHeight="1">
      <c r="A23" s="141" t="s">
        <v>97</v>
      </c>
      <c r="B23" s="139">
        <v>4.875</v>
      </c>
      <c r="C23" s="140">
        <v>2043</v>
      </c>
      <c r="D23" s="142">
        <v>18</v>
      </c>
      <c r="E23" s="140" t="s">
        <v>96</v>
      </c>
      <c r="F23" s="108"/>
      <c r="G23" s="108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5" s="5" customFormat="1" ht="22" customHeight="1">
      <c r="A24" s="141" t="s">
        <v>97</v>
      </c>
      <c r="B24" s="139">
        <v>5.85</v>
      </c>
      <c r="C24" s="140">
        <v>2043</v>
      </c>
      <c r="D24" s="142">
        <v>1235</v>
      </c>
      <c r="E24" s="140" t="s">
        <v>96</v>
      </c>
      <c r="F24" s="108"/>
      <c r="G24" s="108"/>
    </row>
    <row r="25" spans="1:25" s="13" customFormat="1" ht="22" customHeight="1">
      <c r="A25" s="141" t="s">
        <v>97</v>
      </c>
      <c r="B25" s="139">
        <v>5.25</v>
      </c>
      <c r="C25" s="140">
        <v>2044</v>
      </c>
      <c r="D25" s="142">
        <v>345</v>
      </c>
      <c r="E25" s="140" t="s">
        <v>96</v>
      </c>
      <c r="F25" s="102"/>
      <c r="G25" s="102"/>
    </row>
    <row r="26" spans="1:25" s="1" customFormat="1" ht="22" customHeight="1">
      <c r="A26" s="141" t="s">
        <v>95</v>
      </c>
      <c r="B26" s="139">
        <v>4.9000000000000004</v>
      </c>
      <c r="C26" s="140">
        <v>2044</v>
      </c>
      <c r="D26" s="142">
        <v>542</v>
      </c>
      <c r="E26" s="140" t="s">
        <v>96</v>
      </c>
      <c r="F26" s="77"/>
      <c r="G26" s="77"/>
      <c r="H26" s="77"/>
      <c r="I26" s="13"/>
    </row>
    <row r="27" spans="1:25" s="4" customFormat="1" ht="22" customHeight="1">
      <c r="A27" s="141" t="s">
        <v>95</v>
      </c>
      <c r="B27" s="139">
        <v>4.5999999999999996</v>
      </c>
      <c r="C27" s="140">
        <v>2045</v>
      </c>
      <c r="D27" s="142">
        <v>591</v>
      </c>
      <c r="E27" s="140" t="s">
        <v>96</v>
      </c>
      <c r="F27" s="102"/>
      <c r="G27" s="102"/>
      <c r="H27" s="102"/>
      <c r="I27" s="102"/>
      <c r="J27" s="1"/>
      <c r="K27" s="1"/>
      <c r="L27" s="1"/>
      <c r="M27" s="1"/>
      <c r="N27" s="1"/>
      <c r="O27" s="5"/>
      <c r="P27" s="5"/>
      <c r="Q27" s="5"/>
      <c r="R27" s="5"/>
      <c r="S27" s="2"/>
    </row>
    <row r="28" spans="1:25" s="5" customFormat="1" ht="22" customHeight="1">
      <c r="A28" s="141" t="s">
        <v>95</v>
      </c>
      <c r="B28" s="139">
        <v>4.95</v>
      </c>
      <c r="C28" s="140">
        <v>2050</v>
      </c>
      <c r="D28" s="142">
        <v>950</v>
      </c>
      <c r="E28" s="140" t="s">
        <v>96</v>
      </c>
      <c r="F28" s="102"/>
      <c r="G28" s="102"/>
      <c r="H28" s="102"/>
      <c r="I28" s="102"/>
      <c r="J28" s="14"/>
      <c r="K28" s="14"/>
      <c r="L28" s="14"/>
      <c r="M28" s="14"/>
      <c r="N28" s="14"/>
      <c r="O28" s="14"/>
      <c r="P28" s="14"/>
      <c r="Q28" s="14"/>
      <c r="R28" s="14"/>
      <c r="S28" s="2"/>
      <c r="Y28" s="39"/>
    </row>
    <row r="29" spans="1:25" s="5" customFormat="1" ht="22" customHeight="1">
      <c r="A29" s="141" t="s">
        <v>98</v>
      </c>
      <c r="B29" s="139">
        <v>6.25</v>
      </c>
      <c r="C29" s="140">
        <v>2057</v>
      </c>
      <c r="D29" s="142">
        <v>644</v>
      </c>
      <c r="E29" s="140" t="s">
        <v>99</v>
      </c>
      <c r="F29" s="110"/>
      <c r="G29" s="110"/>
      <c r="H29" s="110"/>
      <c r="I29" s="110"/>
      <c r="J29" s="23"/>
      <c r="K29" s="23"/>
      <c r="L29" s="23"/>
      <c r="M29" s="23"/>
      <c r="N29" s="23"/>
      <c r="O29" s="23"/>
      <c r="P29" s="23"/>
      <c r="Q29" s="23"/>
      <c r="R29" s="23"/>
      <c r="S29" s="2"/>
      <c r="Y29" s="41"/>
    </row>
    <row r="30" spans="1:25" s="4" customFormat="1" ht="22" customHeight="1">
      <c r="A30" s="141" t="s">
        <v>98</v>
      </c>
      <c r="B30" s="139">
        <v>6.375</v>
      </c>
      <c r="C30" s="140">
        <v>2062</v>
      </c>
      <c r="D30" s="142">
        <v>989</v>
      </c>
      <c r="E30" s="140" t="s">
        <v>99</v>
      </c>
      <c r="F30" s="5"/>
      <c r="G30" s="5"/>
      <c r="H30" s="5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5"/>
      <c r="W30" s="5"/>
    </row>
    <row r="31" spans="1:25" s="1" customFormat="1" ht="22" customHeight="1">
      <c r="A31" s="69"/>
      <c r="B31" s="79"/>
      <c r="C31" s="79"/>
      <c r="D31" s="79"/>
      <c r="E31" s="79"/>
      <c r="F31" s="79"/>
      <c r="G31" s="79"/>
      <c r="H31" s="7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13"/>
      <c r="W31" s="5"/>
    </row>
    <row r="32" spans="1:25" s="1" customFormat="1" ht="22" customHeight="1">
      <c r="A32" s="201" t="s">
        <v>81</v>
      </c>
      <c r="B32" s="201"/>
      <c r="C32" s="201"/>
      <c r="D32" s="202">
        <f>SUM(D6:D30)</f>
        <v>14501</v>
      </c>
      <c r="E32" s="201"/>
      <c r="F32" s="57"/>
      <c r="G32" s="57"/>
      <c r="H32" s="57"/>
      <c r="I32" s="5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5" s="1" customFormat="1" ht="22" customHeight="1" thickBot="1">
      <c r="A33" s="57"/>
      <c r="B33" s="57"/>
      <c r="C33" s="57"/>
      <c r="D33" s="57"/>
      <c r="E33" s="57"/>
      <c r="F33" s="57"/>
      <c r="G33" s="57"/>
      <c r="H33" s="57"/>
      <c r="I33" s="57"/>
      <c r="J33" s="23"/>
      <c r="K33" s="23"/>
      <c r="L33" s="23"/>
      <c r="M33" s="23"/>
      <c r="N33" s="23"/>
      <c r="O33" s="23"/>
      <c r="P33" s="23"/>
      <c r="Q33" s="23"/>
      <c r="R33" s="23"/>
    </row>
    <row r="34" spans="1:25" s="4" customFormat="1" ht="22" customHeight="1" thickBot="1">
      <c r="A34" s="212" t="s">
        <v>126</v>
      </c>
      <c r="B34" s="213"/>
      <c r="C34" s="213"/>
      <c r="D34" s="214">
        <f>SUM(D6:D12)</f>
        <v>3333</v>
      </c>
      <c r="E34" s="57"/>
      <c r="F34" s="1"/>
      <c r="G34" s="1"/>
      <c r="H34" s="1"/>
      <c r="I34" s="23"/>
      <c r="J34" s="30"/>
      <c r="K34" s="30"/>
      <c r="L34" s="30"/>
      <c r="M34" s="30"/>
      <c r="N34" s="30"/>
      <c r="O34" s="30"/>
      <c r="P34" s="30"/>
      <c r="Q34" s="30"/>
      <c r="R34" s="30"/>
      <c r="S34" s="15"/>
      <c r="T34" s="30"/>
      <c r="U34" s="30"/>
      <c r="V34" s="30"/>
    </row>
    <row r="35" spans="1:25" s="1" customFormat="1" ht="22" customHeight="1">
      <c r="A35" s="69"/>
      <c r="B35" s="78"/>
      <c r="C35" s="57"/>
      <c r="D35" s="57"/>
      <c r="E35" s="57"/>
      <c r="F35" s="57"/>
      <c r="G35" s="57"/>
      <c r="H35" s="57"/>
      <c r="I35" s="30"/>
      <c r="J35" s="31"/>
      <c r="K35" s="31"/>
      <c r="L35" s="31"/>
      <c r="M35" s="31"/>
      <c r="N35" s="25"/>
      <c r="O35" s="22"/>
      <c r="P35" s="22"/>
      <c r="Q35" s="22"/>
      <c r="R35" s="22"/>
      <c r="S35" s="22"/>
      <c r="T35" s="22"/>
      <c r="U35" s="22"/>
      <c r="V35" s="22"/>
      <c r="W35" s="58"/>
    </row>
    <row r="36" spans="1:25" s="5" customFormat="1" ht="22" customHeight="1">
      <c r="A36" s="1"/>
      <c r="B36" s="79"/>
      <c r="C36" s="79"/>
      <c r="D36" s="79"/>
      <c r="E36" s="79"/>
      <c r="F36" s="79"/>
      <c r="G36" s="79"/>
      <c r="H36" s="79"/>
      <c r="I36" s="25"/>
      <c r="J36" s="23"/>
      <c r="K36" s="23"/>
      <c r="L36" s="23"/>
      <c r="M36" s="23"/>
      <c r="N36" s="23"/>
      <c r="O36" s="23"/>
      <c r="P36" s="23"/>
      <c r="Q36" s="23"/>
      <c r="R36" s="23"/>
    </row>
    <row r="37" spans="1:25" s="5" customFormat="1" ht="22" customHeight="1">
      <c r="A37" s="135"/>
      <c r="B37" s="109"/>
      <c r="C37" s="109"/>
      <c r="D37" s="109"/>
      <c r="E37" s="109"/>
      <c r="F37" s="79"/>
      <c r="G37" s="79"/>
      <c r="H37" s="7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4"/>
    </row>
    <row r="38" spans="1:25" s="4" customFormat="1" ht="22" customHeight="1">
      <c r="A38" s="136"/>
      <c r="B38" s="111"/>
      <c r="C38" s="111"/>
      <c r="D38" s="111"/>
      <c r="E38" s="111"/>
      <c r="F38" s="111"/>
      <c r="G38" s="111"/>
      <c r="H38" s="111"/>
      <c r="I38" s="111"/>
      <c r="J38" s="23"/>
      <c r="K38" s="23"/>
      <c r="L38" s="23"/>
      <c r="M38" s="23"/>
      <c r="N38" s="23"/>
      <c r="O38" s="23"/>
      <c r="P38" s="23"/>
      <c r="Q38" s="23"/>
      <c r="R38" s="23"/>
      <c r="S38" s="1"/>
    </row>
    <row r="39" spans="1:25" s="4" customFormat="1" ht="22" customHeight="1">
      <c r="A39" s="136"/>
      <c r="B39" s="137"/>
      <c r="C39" s="137"/>
      <c r="D39" s="137"/>
      <c r="E39" s="137"/>
      <c r="F39" s="137"/>
      <c r="G39" s="137"/>
      <c r="H39" s="137"/>
      <c r="I39" s="137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Y39" s="5"/>
    </row>
    <row r="40" spans="1:25" s="5" customFormat="1" ht="22" customHeight="1">
      <c r="A40" s="65"/>
      <c r="B40" s="114"/>
      <c r="C40" s="114"/>
      <c r="D40" s="114"/>
      <c r="E40" s="114"/>
      <c r="F40" s="114"/>
      <c r="G40" s="114"/>
      <c r="H40" s="114"/>
      <c r="I40" s="114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5" s="5" customFormat="1" ht="22" customHeight="1">
      <c r="A41" s="96"/>
      <c r="B41" s="22"/>
      <c r="C41" s="138"/>
      <c r="D41" s="137"/>
      <c r="E41" s="137"/>
      <c r="F41" s="137"/>
      <c r="G41" s="137"/>
      <c r="H41" s="137"/>
      <c r="I41" s="137"/>
      <c r="J41" s="32"/>
      <c r="K41" s="19"/>
      <c r="L41" s="19"/>
      <c r="M41" s="19"/>
      <c r="N41" s="19"/>
      <c r="O41" s="32"/>
      <c r="P41" s="32"/>
      <c r="Q41" s="32"/>
      <c r="R41" s="32"/>
      <c r="S41" s="4"/>
    </row>
    <row r="42" spans="1:25" s="4" customFormat="1" ht="22" customHeight="1">
      <c r="A42" s="65"/>
      <c r="B42" s="23"/>
      <c r="C42" s="23"/>
      <c r="D42" s="111"/>
      <c r="E42" s="111"/>
      <c r="F42" s="111"/>
      <c r="G42" s="111"/>
      <c r="H42" s="111"/>
      <c r="I42" s="111"/>
      <c r="J42" s="32"/>
      <c r="K42" s="19"/>
      <c r="L42" s="19"/>
      <c r="M42" s="19"/>
      <c r="N42" s="19"/>
      <c r="O42" s="32"/>
      <c r="P42" s="32"/>
      <c r="Q42" s="32"/>
      <c r="R42" s="32"/>
      <c r="S42" s="1"/>
    </row>
    <row r="43" spans="1:25" s="1" customFormat="1" ht="22" customHeight="1">
      <c r="A43" s="112"/>
      <c r="B43" s="33"/>
      <c r="C43" s="33"/>
      <c r="D43" s="137"/>
      <c r="E43" s="137"/>
      <c r="F43" s="137"/>
      <c r="G43" s="137"/>
      <c r="H43" s="137"/>
      <c r="I43" s="137"/>
      <c r="J43" s="32"/>
      <c r="K43" s="19"/>
      <c r="L43" s="19"/>
      <c r="M43" s="19"/>
      <c r="N43" s="19"/>
      <c r="O43" s="32"/>
      <c r="P43" s="32"/>
      <c r="Q43" s="32"/>
      <c r="R43" s="32"/>
      <c r="S43" s="5"/>
    </row>
    <row r="44" spans="1:25" s="5" customFormat="1" ht="22" customHeight="1">
      <c r="A44" s="1"/>
      <c r="B44" s="1"/>
      <c r="C44" s="1"/>
      <c r="D44" s="1"/>
      <c r="E44" s="1"/>
      <c r="F44" s="1"/>
      <c r="G44" s="1"/>
      <c r="H44" s="1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8"/>
      <c r="T44" s="20"/>
      <c r="U44" s="20"/>
      <c r="V44" s="20"/>
      <c r="W44" s="20"/>
    </row>
    <row r="45" spans="1:25" s="6" customFormat="1" ht="22" customHeight="1">
      <c r="A45" s="112"/>
      <c r="B45" s="78"/>
      <c r="C45" s="78"/>
      <c r="D45" s="78"/>
      <c r="E45" s="78"/>
      <c r="F45" s="78"/>
      <c r="G45" s="78"/>
      <c r="H45" s="78"/>
      <c r="I45" s="118"/>
      <c r="J45" s="33"/>
      <c r="K45" s="33"/>
      <c r="L45" s="33"/>
      <c r="M45" s="33"/>
      <c r="N45" s="33"/>
      <c r="O45" s="33"/>
      <c r="P45" s="33"/>
      <c r="Q45" s="33"/>
      <c r="R45" s="33"/>
      <c r="S45" s="4"/>
      <c r="T45" s="32"/>
      <c r="U45" s="32"/>
    </row>
    <row r="46" spans="1:25" s="6" customFormat="1" ht="22" customHeight="1">
      <c r="A46" s="89"/>
      <c r="B46" s="104"/>
      <c r="C46" s="104"/>
      <c r="D46" s="104"/>
      <c r="E46" s="104"/>
      <c r="F46" s="104"/>
      <c r="G46" s="104"/>
      <c r="H46" s="104"/>
      <c r="I46" s="104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spans="1:25" s="6" customFormat="1" ht="22" customHeight="1">
      <c r="A47" s="89"/>
      <c r="B47" s="102"/>
      <c r="C47" s="116"/>
      <c r="D47" s="116"/>
      <c r="E47" s="116"/>
      <c r="F47" s="116"/>
      <c r="G47" s="116"/>
      <c r="H47" s="116"/>
      <c r="I47" s="116"/>
      <c r="J47" s="20"/>
      <c r="K47" s="20"/>
      <c r="L47" s="20"/>
      <c r="M47" s="20"/>
      <c r="N47" s="20"/>
      <c r="O47" s="20"/>
      <c r="P47" s="20"/>
      <c r="Q47" s="20"/>
      <c r="R47" s="20"/>
      <c r="S47" s="8"/>
      <c r="T47" s="20"/>
      <c r="U47" s="20"/>
      <c r="V47" s="20"/>
      <c r="W47" s="20"/>
    </row>
    <row r="48" spans="1:25" s="6" customFormat="1" ht="22" customHeight="1">
      <c r="A48" s="78"/>
      <c r="B48" s="118"/>
      <c r="C48" s="118"/>
      <c r="D48" s="118"/>
      <c r="E48" s="118"/>
      <c r="F48" s="118"/>
      <c r="G48" s="118"/>
      <c r="H48" s="118"/>
      <c r="I48" s="118"/>
      <c r="J48" s="5"/>
      <c r="K48" s="24"/>
      <c r="L48" s="24"/>
      <c r="M48" s="24"/>
      <c r="N48" s="24"/>
      <c r="S48" s="5"/>
    </row>
    <row r="49" spans="1:24" s="6" customFormat="1" ht="22" customHeight="1">
      <c r="A49" s="89"/>
      <c r="B49" s="122"/>
      <c r="C49" s="122"/>
      <c r="D49" s="122"/>
      <c r="E49" s="122"/>
      <c r="F49" s="122"/>
      <c r="G49" s="122"/>
      <c r="H49" s="122"/>
      <c r="I49" s="122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4" s="6" customFormat="1" ht="22" customHeight="1">
      <c r="A50" s="89"/>
      <c r="B50" s="89"/>
      <c r="C50" s="102"/>
      <c r="D50" s="102"/>
      <c r="E50" s="102"/>
      <c r="F50" s="102"/>
      <c r="G50" s="102"/>
      <c r="H50" s="102"/>
      <c r="I50" s="102"/>
      <c r="J50" s="5"/>
      <c r="K50" s="24"/>
      <c r="L50" s="24"/>
      <c r="M50" s="24"/>
      <c r="N50" s="24"/>
      <c r="S50" s="1"/>
    </row>
    <row r="51" spans="1:24" s="6" customFormat="1" ht="22" customHeight="1">
      <c r="A51" s="89"/>
      <c r="B51" s="119"/>
      <c r="C51" s="119"/>
      <c r="D51" s="122"/>
      <c r="E51" s="122"/>
      <c r="F51" s="122"/>
      <c r="G51" s="122"/>
      <c r="H51" s="122"/>
      <c r="I51" s="122"/>
      <c r="J51" s="30"/>
      <c r="K51" s="30"/>
      <c r="L51" s="30"/>
      <c r="M51" s="30"/>
      <c r="N51" s="30"/>
      <c r="O51" s="30"/>
      <c r="P51" s="30"/>
      <c r="Q51" s="30"/>
      <c r="R51" s="30"/>
      <c r="S51" s="15"/>
      <c r="T51" s="30"/>
      <c r="U51" s="30"/>
      <c r="V51" s="30"/>
      <c r="W51" s="30"/>
    </row>
    <row r="52" spans="1:24" s="6" customFormat="1" ht="22" customHeight="1">
      <c r="A52" s="89"/>
      <c r="B52" s="122"/>
      <c r="C52" s="122"/>
      <c r="D52" s="122"/>
      <c r="E52" s="122"/>
      <c r="F52" s="122"/>
      <c r="G52" s="122"/>
      <c r="H52" s="122"/>
      <c r="I52" s="122"/>
      <c r="J52" s="5"/>
      <c r="K52" s="24"/>
      <c r="L52" s="24"/>
      <c r="M52" s="24"/>
      <c r="N52" s="24"/>
    </row>
    <row r="53" spans="1:24" s="6" customFormat="1" ht="22" customHeight="1">
      <c r="A53" s="79"/>
      <c r="B53" s="123"/>
      <c r="C53" s="79"/>
      <c r="D53" s="79"/>
      <c r="E53" s="79"/>
      <c r="F53" s="79"/>
      <c r="G53" s="79"/>
      <c r="H53" s="79"/>
      <c r="I53" s="79"/>
      <c r="J53" s="4"/>
      <c r="K53" s="20"/>
      <c r="L53" s="20"/>
      <c r="M53" s="20"/>
      <c r="N53" s="20"/>
    </row>
    <row r="54" spans="1:24" s="6" customFormat="1" ht="22" customHeight="1">
      <c r="A54" s="89"/>
      <c r="B54" s="89"/>
      <c r="C54" s="89"/>
      <c r="D54" s="89"/>
      <c r="E54" s="89"/>
      <c r="F54" s="118"/>
      <c r="G54" s="118"/>
      <c r="H54" s="118"/>
      <c r="I54" s="118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4" s="6" customFormat="1" ht="22" customHeight="1">
      <c r="A55" s="89"/>
      <c r="B55" s="89"/>
      <c r="C55" s="102"/>
      <c r="D55" s="102"/>
      <c r="E55" s="102"/>
      <c r="F55" s="102"/>
      <c r="G55" s="102"/>
      <c r="H55" s="102"/>
      <c r="I55" s="102"/>
      <c r="J55" s="33"/>
      <c r="K55" s="36"/>
      <c r="L55" s="36"/>
      <c r="M55" s="36"/>
      <c r="N55" s="35"/>
      <c r="Q55" s="5"/>
      <c r="R55" s="5"/>
    </row>
    <row r="56" spans="1:24" s="6" customFormat="1" ht="22" customHeight="1">
      <c r="A56" s="78"/>
      <c r="B56" s="124"/>
      <c r="C56" s="125"/>
      <c r="D56" s="125"/>
      <c r="E56" s="125"/>
      <c r="F56" s="126"/>
      <c r="G56" s="126"/>
      <c r="H56" s="126"/>
      <c r="I56" s="127"/>
    </row>
    <row r="57" spans="1:24" s="6" customFormat="1" ht="22" customHeight="1"/>
    <row r="58" spans="1:24" s="6" customFormat="1" ht="22" customHeight="1">
      <c r="A58" s="89"/>
      <c r="B58" s="89"/>
      <c r="C58" s="89"/>
      <c r="D58" s="89"/>
      <c r="E58" s="89"/>
      <c r="F58" s="89"/>
      <c r="G58" s="89"/>
      <c r="H58" s="89"/>
      <c r="I58" s="89"/>
      <c r="J58" s="5"/>
      <c r="L58" s="5"/>
      <c r="M58" s="5"/>
      <c r="N58" s="5"/>
    </row>
    <row r="59" spans="1:24" s="6" customFormat="1" ht="22" customHeight="1">
      <c r="A59" s="5"/>
      <c r="B59" s="5"/>
      <c r="C59" s="34"/>
      <c r="D59" s="34"/>
      <c r="E59" s="34"/>
      <c r="F59" s="5"/>
      <c r="G59" s="5"/>
      <c r="H59" s="5"/>
      <c r="I59" s="5"/>
      <c r="J59" s="3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38"/>
      <c r="X59" s="2"/>
    </row>
    <row r="60" spans="1:24" s="6" customFormat="1" ht="22" customHeight="1">
      <c r="A60" s="27"/>
      <c r="B60" s="5"/>
      <c r="C60" s="37"/>
      <c r="D60" s="37"/>
      <c r="E60" s="37"/>
      <c r="F60" s="37"/>
      <c r="G60" s="37"/>
      <c r="H60" s="37"/>
      <c r="I60" s="37"/>
      <c r="J60" s="3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8"/>
      <c r="X60" s="2"/>
    </row>
    <row r="61" spans="1:24" s="6" customFormat="1" ht="22" customHeight="1">
      <c r="A61" s="27"/>
      <c r="B61" s="5"/>
      <c r="C61" s="37"/>
      <c r="D61" s="37"/>
      <c r="E61" s="37"/>
      <c r="F61" s="37"/>
      <c r="G61" s="37"/>
      <c r="H61" s="37"/>
      <c r="I61" s="37"/>
      <c r="J61" s="3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38"/>
      <c r="X61" s="2"/>
    </row>
    <row r="62" spans="1:24" s="6" customFormat="1" ht="22" customHeight="1">
      <c r="A62" s="27"/>
      <c r="B62" s="5"/>
      <c r="C62" s="37"/>
      <c r="D62" s="37"/>
      <c r="E62" s="37"/>
      <c r="F62" s="37"/>
      <c r="G62" s="37"/>
      <c r="H62" s="37"/>
      <c r="I62" s="3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38"/>
      <c r="X62" s="2"/>
    </row>
    <row r="63" spans="1:24" s="6" customFormat="1" ht="22" customHeight="1">
      <c r="A63" s="27"/>
      <c r="B63" s="5"/>
      <c r="C63" s="5"/>
      <c r="D63" s="5"/>
      <c r="E63" s="5"/>
      <c r="J63" s="3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38"/>
      <c r="X63" s="2"/>
    </row>
    <row r="64" spans="1:24" s="6" customFormat="1" ht="22" customHeight="1">
      <c r="A64" s="27"/>
      <c r="B64" s="5"/>
      <c r="C64" s="37"/>
      <c r="D64" s="37"/>
      <c r="E64" s="37"/>
      <c r="F64" s="37"/>
      <c r="G64" s="37"/>
      <c r="H64" s="37"/>
      <c r="I64" s="37"/>
      <c r="J64" s="3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38"/>
      <c r="X64" s="2"/>
    </row>
    <row r="65" spans="1:24" s="6" customFormat="1" ht="22" customHeight="1">
      <c r="A65" s="27"/>
      <c r="B65" s="5"/>
      <c r="C65" s="37"/>
      <c r="D65" s="37"/>
      <c r="E65" s="37"/>
      <c r="F65" s="37"/>
      <c r="G65" s="37"/>
      <c r="H65" s="37"/>
      <c r="I65" s="37"/>
      <c r="J65" s="3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38"/>
      <c r="X65" s="2"/>
    </row>
    <row r="66" spans="1:24" s="6" customFormat="1" ht="22" customHeight="1">
      <c r="A66" s="27"/>
      <c r="B66" s="5"/>
      <c r="C66" s="37"/>
      <c r="D66" s="37"/>
      <c r="E66" s="37"/>
      <c r="F66" s="37"/>
      <c r="G66" s="37"/>
      <c r="H66" s="37"/>
      <c r="I66" s="3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s="6" customFormat="1" ht="22" customHeight="1">
      <c r="A67" s="27"/>
      <c r="B67" s="5"/>
      <c r="J67" s="38"/>
      <c r="K67" s="38"/>
      <c r="L67" s="38"/>
      <c r="M67" s="38"/>
      <c r="N67" s="38"/>
      <c r="O67" s="38"/>
      <c r="P67" s="38"/>
      <c r="Q67" s="38"/>
      <c r="R67" s="38"/>
      <c r="S67" s="3"/>
      <c r="T67" s="38"/>
      <c r="U67" s="38"/>
      <c r="V67" s="38"/>
      <c r="W67" s="38"/>
      <c r="X67" s="2"/>
    </row>
    <row r="68" spans="1:24" s="6" customFormat="1" ht="22" customHeight="1">
      <c r="B68" s="4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"/>
      <c r="T68" s="38"/>
      <c r="U68" s="38"/>
      <c r="V68" s="38"/>
      <c r="W68" s="38"/>
      <c r="X68" s="2"/>
    </row>
    <row r="69" spans="1:24" s="6" customFormat="1" ht="22" customHeight="1">
      <c r="B69" s="5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"/>
      <c r="T69" s="38"/>
      <c r="U69" s="38"/>
      <c r="V69" s="38"/>
      <c r="W69" s="38"/>
      <c r="X69" s="2"/>
    </row>
    <row r="70" spans="1:24" s="4" customFormat="1" ht="22" customHeight="1">
      <c r="A70" s="6"/>
      <c r="C70" s="38"/>
      <c r="D70" s="38"/>
      <c r="E70" s="38"/>
      <c r="F70" s="38"/>
      <c r="G70" s="38"/>
      <c r="H70" s="38"/>
      <c r="I70" s="38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s="5" customFormat="1" ht="22" customHeight="1">
      <c r="A71" s="6"/>
      <c r="B71" s="4"/>
      <c r="C71" s="6"/>
      <c r="D71" s="6"/>
      <c r="E71" s="6"/>
      <c r="F71" s="6"/>
      <c r="G71" s="6"/>
      <c r="H71" s="6"/>
      <c r="I71" s="6"/>
      <c r="J71" s="6"/>
      <c r="K71" s="38"/>
      <c r="L71" s="38"/>
      <c r="M71" s="38"/>
      <c r="N71" s="2"/>
      <c r="O71" s="38"/>
      <c r="P71" s="38"/>
      <c r="Q71" s="38"/>
      <c r="R71" s="38"/>
      <c r="S71" s="2"/>
      <c r="T71" s="2"/>
      <c r="U71" s="2"/>
      <c r="V71" s="2"/>
      <c r="W71" s="2"/>
      <c r="X71" s="2"/>
    </row>
    <row r="72" spans="1:24" s="5" customFormat="1" ht="22" customHeight="1">
      <c r="A72" s="6"/>
      <c r="B72" s="12"/>
      <c r="C72" s="38"/>
      <c r="D72" s="38"/>
      <c r="E72" s="38"/>
      <c r="F72" s="38"/>
      <c r="G72" s="38"/>
      <c r="H72" s="38"/>
      <c r="I72" s="38"/>
      <c r="J72" s="6"/>
      <c r="K72" s="38"/>
      <c r="L72" s="38"/>
      <c r="M72" s="38"/>
      <c r="N72" s="38"/>
      <c r="O72" s="38"/>
      <c r="P72" s="38"/>
      <c r="Q72" s="38"/>
      <c r="R72" s="38"/>
      <c r="S72" s="3"/>
      <c r="T72" s="38"/>
      <c r="U72" s="38"/>
      <c r="V72" s="38"/>
      <c r="W72" s="38"/>
      <c r="X72" s="2"/>
    </row>
    <row r="73" spans="1:24" s="5" customFormat="1" ht="22" customHeight="1">
      <c r="A73" s="6"/>
      <c r="B73" s="39"/>
      <c r="C73" s="39"/>
      <c r="D73" s="38"/>
      <c r="E73" s="38"/>
      <c r="F73" s="38"/>
      <c r="G73" s="38"/>
      <c r="H73" s="38"/>
      <c r="I73" s="38"/>
      <c r="J73" s="6"/>
      <c r="K73" s="38"/>
      <c r="L73" s="38"/>
      <c r="M73" s="38"/>
      <c r="N73" s="38"/>
      <c r="O73" s="38"/>
      <c r="P73" s="38"/>
      <c r="Q73" s="38"/>
      <c r="R73" s="38"/>
      <c r="S73" s="3"/>
      <c r="T73" s="38"/>
      <c r="U73" s="38"/>
      <c r="V73" s="38"/>
      <c r="W73" s="38"/>
      <c r="X73" s="2"/>
    </row>
    <row r="74" spans="1:24" s="5" customFormat="1" ht="22" customHeight="1">
      <c r="A74" s="6"/>
      <c r="C74" s="39"/>
      <c r="D74" s="38"/>
      <c r="E74" s="38"/>
      <c r="F74" s="38"/>
      <c r="G74" s="38"/>
      <c r="H74" s="38"/>
      <c r="I74" s="38"/>
      <c r="K74" s="38"/>
      <c r="L74" s="38"/>
      <c r="M74" s="38"/>
      <c r="N74" s="38"/>
      <c r="O74" s="38"/>
      <c r="P74" s="38"/>
      <c r="Q74" s="38"/>
      <c r="R74" s="38"/>
      <c r="S74" s="3"/>
      <c r="T74" s="38"/>
      <c r="U74" s="38"/>
      <c r="V74" s="38"/>
      <c r="W74" s="38"/>
      <c r="X74" s="2"/>
    </row>
    <row r="75" spans="1:24" s="5" customFormat="1" ht="22" customHeight="1">
      <c r="A75" s="6"/>
      <c r="C75" s="39"/>
      <c r="D75" s="38"/>
      <c r="E75" s="38"/>
      <c r="F75" s="38"/>
      <c r="G75" s="38"/>
      <c r="H75" s="38"/>
      <c r="I75" s="38"/>
      <c r="J75" s="6"/>
      <c r="K75" s="38"/>
      <c r="L75" s="38"/>
      <c r="M75" s="38"/>
      <c r="N75" s="38"/>
      <c r="O75" s="38"/>
      <c r="P75" s="38"/>
      <c r="Q75" s="38"/>
      <c r="R75" s="38"/>
      <c r="S75" s="3"/>
      <c r="T75" s="38"/>
      <c r="U75" s="38"/>
      <c r="V75" s="38"/>
      <c r="W75" s="38"/>
      <c r="X75" s="2"/>
    </row>
    <row r="76" spans="1:24" s="5" customFormat="1" ht="22" customHeight="1">
      <c r="A76" s="6"/>
      <c r="C76" s="39"/>
      <c r="D76" s="38"/>
      <c r="E76" s="38"/>
      <c r="F76" s="38"/>
      <c r="G76" s="38"/>
      <c r="H76" s="38"/>
      <c r="I76" s="38"/>
      <c r="J76" s="6"/>
      <c r="K76" s="38"/>
      <c r="L76" s="38"/>
      <c r="M76" s="38"/>
      <c r="N76" s="38"/>
      <c r="O76" s="38"/>
      <c r="P76" s="38"/>
      <c r="Q76" s="38"/>
      <c r="R76" s="38"/>
      <c r="S76" s="3"/>
      <c r="T76" s="38"/>
      <c r="U76" s="38"/>
      <c r="V76" s="38"/>
      <c r="W76" s="38"/>
      <c r="X76" s="2"/>
    </row>
    <row r="77" spans="1:24" s="4" customFormat="1" ht="22" customHeight="1">
      <c r="A77" s="6"/>
      <c r="B77" s="5"/>
      <c r="C77" s="39"/>
      <c r="D77" s="38"/>
      <c r="E77" s="38"/>
      <c r="F77" s="38"/>
      <c r="G77" s="38"/>
      <c r="H77" s="38"/>
      <c r="I77" s="38"/>
      <c r="K77" s="38"/>
      <c r="L77" s="38"/>
      <c r="M77" s="38"/>
      <c r="N77" s="38"/>
      <c r="O77" s="38"/>
      <c r="P77" s="38"/>
      <c r="Q77" s="38"/>
      <c r="R77" s="38"/>
      <c r="S77" s="3"/>
      <c r="T77" s="38"/>
      <c r="U77" s="38"/>
      <c r="V77" s="38"/>
      <c r="W77" s="38"/>
      <c r="X77" s="2"/>
    </row>
    <row r="78" spans="1:24" s="5" customFormat="1" ht="22" customHeight="1">
      <c r="A78" s="6"/>
      <c r="C78" s="39"/>
      <c r="D78" s="39"/>
      <c r="E78" s="39"/>
      <c r="F78" s="39"/>
      <c r="G78" s="39"/>
      <c r="H78" s="39"/>
      <c r="I78" s="39"/>
      <c r="K78" s="38"/>
      <c r="L78" s="38"/>
      <c r="M78" s="38"/>
      <c r="N78" s="38"/>
      <c r="O78" s="38"/>
      <c r="P78" s="38"/>
      <c r="Q78" s="38"/>
      <c r="R78" s="38"/>
      <c r="S78" s="3"/>
      <c r="T78" s="38"/>
      <c r="U78" s="38"/>
      <c r="V78" s="38"/>
      <c r="W78" s="38"/>
      <c r="X78" s="2"/>
    </row>
    <row r="79" spans="1:24" s="4" customFormat="1" ht="22" customHeight="1">
      <c r="A79" s="6"/>
      <c r="B79" s="5"/>
      <c r="C79" s="38"/>
      <c r="D79" s="38"/>
      <c r="E79" s="38"/>
      <c r="F79" s="38"/>
      <c r="G79" s="38"/>
      <c r="H79" s="38"/>
      <c r="I79" s="38"/>
      <c r="J79" s="3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s="4" customFormat="1" ht="22" customHeight="1">
      <c r="A80" s="6"/>
      <c r="B80" s="5"/>
      <c r="C80" s="37"/>
      <c r="D80" s="37"/>
      <c r="E80" s="37"/>
      <c r="F80" s="37"/>
      <c r="G80" s="37"/>
      <c r="H80" s="37"/>
      <c r="I80" s="37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2" s="12" customFormat="1" ht="22" customHeight="1">
      <c r="A81" s="6"/>
      <c r="B81" s="4"/>
      <c r="C81" s="39"/>
      <c r="D81" s="6"/>
      <c r="E81" s="6"/>
      <c r="F81" s="40"/>
      <c r="G81" s="6"/>
      <c r="H81" s="6"/>
      <c r="I81" s="6"/>
      <c r="J81" s="4"/>
      <c r="K81" s="4"/>
      <c r="L81" s="4"/>
      <c r="M81" s="4"/>
      <c r="N81" s="4"/>
      <c r="O81" s="6"/>
      <c r="P81" s="6"/>
      <c r="Q81" s="6"/>
      <c r="R81" s="6"/>
      <c r="S81" s="5"/>
      <c r="U81" s="38"/>
      <c r="V81" s="5"/>
    </row>
    <row r="82" spans="1:22" s="5" customFormat="1" ht="22" customHeight="1">
      <c r="B82" s="28"/>
      <c r="C82" s="14"/>
      <c r="D82" s="14"/>
      <c r="E82" s="14"/>
      <c r="F82" s="14"/>
      <c r="G82" s="14"/>
      <c r="H82" s="14"/>
      <c r="I82" s="4"/>
      <c r="J82" s="1"/>
      <c r="O82" s="6"/>
      <c r="P82" s="6"/>
      <c r="Q82" s="6"/>
      <c r="R82" s="6"/>
      <c r="U82" s="38"/>
    </row>
    <row r="83" spans="1:22" s="5" customFormat="1" ht="22" customHeight="1">
      <c r="B83" s="23"/>
      <c r="C83" s="23"/>
      <c r="D83" s="23"/>
      <c r="E83" s="23"/>
      <c r="J83" s="1"/>
      <c r="O83" s="6"/>
      <c r="P83" s="6"/>
      <c r="Q83" s="6"/>
      <c r="R83" s="6"/>
      <c r="U83" s="38"/>
    </row>
    <row r="84" spans="1:22" s="5" customFormat="1" ht="22" customHeight="1">
      <c r="B84" s="23"/>
      <c r="C84" s="23"/>
      <c r="D84" s="23"/>
      <c r="E84" s="23"/>
      <c r="J84" s="1"/>
      <c r="K84" s="41"/>
      <c r="O84" s="6"/>
      <c r="P84" s="38"/>
      <c r="Q84" s="38"/>
      <c r="R84" s="38"/>
      <c r="S84" s="4"/>
      <c r="U84" s="38"/>
    </row>
    <row r="85" spans="1:22" s="5" customFormat="1" ht="22" customHeight="1">
      <c r="A85" s="1"/>
      <c r="B85" s="23"/>
      <c r="C85" s="23"/>
      <c r="D85" s="23"/>
      <c r="E85" s="23"/>
      <c r="J85" s="1"/>
      <c r="O85" s="6"/>
      <c r="P85" s="38"/>
      <c r="Q85" s="38"/>
      <c r="R85" s="38"/>
      <c r="U85" s="38"/>
    </row>
    <row r="86" spans="1:22" s="5" customFormat="1" ht="22" customHeight="1">
      <c r="B86" s="23"/>
      <c r="C86" s="23"/>
      <c r="D86" s="23"/>
      <c r="E86" s="23"/>
      <c r="J86" s="4"/>
      <c r="O86" s="6"/>
      <c r="P86" s="6"/>
      <c r="Q86" s="6"/>
      <c r="R86" s="6"/>
      <c r="S86" s="4"/>
      <c r="U86" s="38"/>
      <c r="V86" s="4"/>
    </row>
    <row r="87" spans="1:22" s="5" customFormat="1" ht="22" customHeight="1">
      <c r="B87" s="23"/>
      <c r="C87" s="23"/>
      <c r="D87" s="23"/>
      <c r="E87" s="23"/>
      <c r="O87" s="6"/>
      <c r="P87" s="6"/>
      <c r="Q87" s="6"/>
      <c r="R87" s="6"/>
      <c r="S87" s="4"/>
      <c r="U87" s="38"/>
    </row>
    <row r="88" spans="1:22" s="5" customFormat="1" ht="22" customHeight="1">
      <c r="B88" s="14"/>
      <c r="C88" s="14"/>
      <c r="D88" s="14"/>
      <c r="E88" s="14"/>
      <c r="F88" s="14"/>
      <c r="G88" s="14"/>
      <c r="H88" s="14"/>
      <c r="K88" s="4"/>
      <c r="L88" s="4"/>
      <c r="M88" s="4"/>
      <c r="N88" s="4"/>
      <c r="O88" s="6"/>
      <c r="P88" s="38"/>
      <c r="Q88" s="38"/>
      <c r="R88" s="38"/>
      <c r="S88" s="12"/>
      <c r="U88" s="38"/>
      <c r="V88" s="4"/>
    </row>
    <row r="89" spans="1:22" s="5" customFormat="1" ht="22" customHeight="1">
      <c r="B89" s="23"/>
      <c r="C89" s="23"/>
      <c r="D89" s="23"/>
      <c r="E89" s="23"/>
      <c r="F89" s="4"/>
      <c r="G89" s="42"/>
      <c r="H89" s="42"/>
      <c r="I89" s="4"/>
      <c r="O89" s="6"/>
      <c r="P89" s="38"/>
      <c r="Q89" s="38"/>
      <c r="R89" s="38"/>
      <c r="U89" s="38"/>
      <c r="V89" s="12"/>
    </row>
    <row r="90" spans="1:22" s="4" customFormat="1" ht="22" customHeight="1">
      <c r="A90" s="5"/>
      <c r="B90" s="28"/>
      <c r="C90" s="28"/>
      <c r="D90" s="28"/>
      <c r="E90" s="28"/>
      <c r="F90" s="28"/>
      <c r="G90" s="28"/>
      <c r="H90" s="28"/>
      <c r="I90" s="5"/>
      <c r="O90" s="6"/>
      <c r="P90" s="38"/>
      <c r="Q90" s="38"/>
      <c r="R90" s="38"/>
      <c r="S90" s="5"/>
      <c r="U90" s="6"/>
      <c r="V90" s="5"/>
    </row>
    <row r="91" spans="1:22" s="6" customFormat="1" ht="22" customHeight="1">
      <c r="A91" s="5"/>
      <c r="B91" s="23"/>
      <c r="C91" s="23"/>
      <c r="D91" s="23"/>
      <c r="E91" s="23"/>
      <c r="F91" s="43"/>
      <c r="G91" s="43"/>
      <c r="H91" s="43"/>
      <c r="I91" s="4"/>
      <c r="J91" s="5"/>
      <c r="K91" s="12"/>
      <c r="L91" s="12"/>
      <c r="M91" s="12"/>
      <c r="N91" s="12"/>
      <c r="P91" s="38"/>
      <c r="Q91" s="38"/>
      <c r="R91" s="38"/>
      <c r="S91" s="5"/>
      <c r="U91" s="4"/>
      <c r="V91" s="5"/>
    </row>
    <row r="92" spans="1:22" s="1" customFormat="1" ht="22" customHeight="1">
      <c r="A92" s="5"/>
      <c r="B92" s="23"/>
      <c r="C92" s="23"/>
      <c r="D92" s="23"/>
      <c r="E92" s="23"/>
      <c r="F92" s="23"/>
      <c r="G92" s="23"/>
      <c r="H92" s="23"/>
      <c r="I92" s="12"/>
      <c r="J92" s="5"/>
      <c r="K92" s="5"/>
      <c r="L92" s="5"/>
      <c r="M92" s="5"/>
      <c r="N92" s="5"/>
      <c r="O92" s="6"/>
      <c r="P92" s="38"/>
      <c r="Q92" s="38"/>
      <c r="R92" s="38"/>
      <c r="S92" s="5"/>
      <c r="U92" s="5"/>
      <c r="V92" s="5"/>
    </row>
    <row r="93" spans="1:22" s="1" customFormat="1" ht="22" customHeight="1">
      <c r="A93" s="4"/>
      <c r="B93" s="23"/>
      <c r="C93" s="23"/>
      <c r="D93" s="23"/>
      <c r="E93" s="23"/>
      <c r="F93" s="5"/>
      <c r="G93" s="5"/>
      <c r="H93" s="5"/>
      <c r="I93" s="5"/>
      <c r="J93" s="5"/>
      <c r="K93" s="5"/>
      <c r="L93" s="5"/>
      <c r="M93" s="5"/>
      <c r="N93" s="5"/>
      <c r="O93" s="6"/>
      <c r="P93" s="38"/>
      <c r="Q93" s="38"/>
      <c r="R93" s="38"/>
      <c r="S93" s="5"/>
      <c r="U93" s="5"/>
      <c r="V93" s="5"/>
    </row>
    <row r="94" spans="1:22" s="1" customFormat="1" ht="22" customHeight="1">
      <c r="A94" s="12"/>
      <c r="B94" s="23"/>
      <c r="C94" s="23"/>
      <c r="D94" s="23"/>
      <c r="E94" s="23"/>
      <c r="F94" s="5"/>
      <c r="G94" s="5"/>
      <c r="H94" s="5"/>
      <c r="I94" s="5"/>
      <c r="J94" s="5"/>
      <c r="K94" s="5"/>
      <c r="L94" s="5"/>
      <c r="M94" s="5"/>
      <c r="N94" s="5"/>
      <c r="O94" s="6"/>
      <c r="P94" s="38"/>
      <c r="Q94" s="38"/>
      <c r="R94" s="38"/>
      <c r="S94" s="5"/>
      <c r="U94" s="5"/>
      <c r="V94" s="5"/>
    </row>
    <row r="95" spans="1:22" s="1" customFormat="1" ht="22" customHeight="1">
      <c r="A95" s="5"/>
      <c r="B95" s="23"/>
      <c r="C95" s="23"/>
      <c r="D95" s="23"/>
      <c r="E95" s="23"/>
      <c r="F95" s="5"/>
      <c r="G95" s="5"/>
      <c r="H95" s="5"/>
      <c r="I95" s="5"/>
      <c r="J95" s="5"/>
      <c r="K95" s="5"/>
      <c r="L95" s="5"/>
      <c r="M95" s="5"/>
      <c r="N95" s="5"/>
      <c r="O95" s="6"/>
      <c r="P95" s="38"/>
      <c r="Q95" s="38"/>
      <c r="R95" s="38"/>
      <c r="S95" s="5"/>
      <c r="U95" s="5"/>
      <c r="V95" s="5"/>
    </row>
    <row r="96" spans="1:22" s="4" customFormat="1" ht="22" customHeight="1">
      <c r="A96" s="5"/>
      <c r="B96" s="23"/>
      <c r="C96" s="23"/>
      <c r="D96" s="23"/>
      <c r="E96" s="23"/>
      <c r="F96" s="5"/>
      <c r="G96" s="5"/>
      <c r="H96" s="5"/>
      <c r="I96" s="5"/>
      <c r="K96" s="5"/>
      <c r="L96" s="5"/>
      <c r="M96" s="5"/>
      <c r="N96" s="5"/>
      <c r="O96" s="6"/>
      <c r="P96" s="38"/>
      <c r="Q96" s="38"/>
      <c r="R96" s="38"/>
      <c r="S96" s="5"/>
      <c r="U96" s="5"/>
    </row>
    <row r="97" spans="1:22" s="5" customFormat="1" ht="22" customHeight="1">
      <c r="B97" s="28"/>
      <c r="C97" s="28"/>
      <c r="D97" s="28"/>
      <c r="E97" s="28"/>
      <c r="F97" s="28"/>
      <c r="G97" s="28"/>
      <c r="H97" s="28"/>
      <c r="J97" s="1"/>
      <c r="O97" s="6"/>
      <c r="P97" s="6"/>
      <c r="Q97" s="6"/>
      <c r="R97" s="6"/>
      <c r="S97" s="4"/>
      <c r="V97" s="6"/>
    </row>
    <row r="98" spans="1:22" s="5" customFormat="1" ht="22" customHeight="1">
      <c r="A98" s="1"/>
      <c r="B98" s="4"/>
      <c r="C98" s="1"/>
      <c r="D98" s="1"/>
      <c r="E98" s="1"/>
      <c r="O98" s="4"/>
      <c r="P98" s="4"/>
      <c r="Q98" s="4"/>
      <c r="R98" s="4"/>
      <c r="S98" s="6"/>
      <c r="U98" s="4"/>
      <c r="V98" s="1"/>
    </row>
    <row r="99" spans="1:22" s="5" customFormat="1" ht="22" customHeight="1">
      <c r="A99" s="44"/>
      <c r="C99" s="1"/>
      <c r="D99" s="1"/>
      <c r="E99" s="1"/>
      <c r="K99" s="4"/>
      <c r="L99" s="4"/>
      <c r="M99" s="4"/>
      <c r="N99" s="4"/>
      <c r="S99" s="1"/>
      <c r="V99" s="1"/>
    </row>
    <row r="100" spans="1:22" s="4" customFormat="1" ht="22" customHeight="1">
      <c r="A100" s="1"/>
      <c r="B100" s="5"/>
      <c r="C100" s="1"/>
      <c r="D100" s="1"/>
      <c r="E100" s="1"/>
      <c r="J100" s="5"/>
      <c r="K100" s="6"/>
      <c r="L100" s="6"/>
      <c r="M100" s="6"/>
      <c r="N100" s="6"/>
      <c r="O100" s="5"/>
      <c r="P100" s="5"/>
      <c r="Q100" s="5"/>
      <c r="R100" s="5"/>
      <c r="S100" s="1"/>
      <c r="V100" s="1"/>
    </row>
    <row r="101" spans="1:22" s="5" customFormat="1" ht="22" customHeight="1">
      <c r="A101" s="33"/>
      <c r="C101" s="1"/>
      <c r="D101" s="1"/>
      <c r="E101" s="1"/>
      <c r="F101" s="6"/>
      <c r="G101" s="6"/>
      <c r="H101" s="6"/>
      <c r="I101" s="6"/>
      <c r="J101" s="1"/>
      <c r="K101" s="1"/>
      <c r="L101" s="1"/>
      <c r="M101" s="1"/>
      <c r="N101" s="1"/>
      <c r="S101" s="1"/>
      <c r="U101" s="12"/>
      <c r="V101" s="1"/>
    </row>
    <row r="102" spans="1:22" s="5" customFormat="1" ht="22" customHeight="1">
      <c r="A102" s="4"/>
      <c r="B102" s="4"/>
      <c r="C102" s="4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S102" s="1"/>
      <c r="V102" s="4"/>
    </row>
    <row r="103" spans="1:22" s="5" customFormat="1" ht="22" customHeight="1">
      <c r="B103" s="1"/>
      <c r="F103" s="1"/>
      <c r="G103" s="1"/>
      <c r="H103" s="1"/>
      <c r="I103" s="1"/>
      <c r="J103" s="1"/>
      <c r="K103" s="1"/>
      <c r="L103" s="1"/>
      <c r="M103" s="1"/>
      <c r="N103" s="1"/>
      <c r="S103" s="4"/>
    </row>
    <row r="104" spans="1:22" s="5" customFormat="1" ht="22" customHeight="1">
      <c r="F104" s="1"/>
      <c r="G104" s="1"/>
      <c r="H104" s="1"/>
      <c r="I104" s="1"/>
      <c r="J104" s="1"/>
      <c r="K104" s="1"/>
      <c r="L104" s="1"/>
      <c r="M104" s="1"/>
      <c r="N104" s="1"/>
    </row>
    <row r="105" spans="1:22" s="5" customFormat="1" ht="22" customHeight="1"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</row>
    <row r="106" spans="1:22" s="4" customFormat="1" ht="22" customHeight="1">
      <c r="B106" s="23"/>
      <c r="C106" s="23"/>
      <c r="D106" s="23"/>
      <c r="E106" s="23"/>
      <c r="F106" s="23"/>
      <c r="G106" s="23"/>
      <c r="H106" s="23"/>
      <c r="J106" s="5"/>
      <c r="K106" s="5"/>
      <c r="L106" s="5"/>
      <c r="M106" s="5"/>
      <c r="N106" s="5"/>
      <c r="O106" s="5"/>
      <c r="P106" s="5"/>
      <c r="Q106" s="5"/>
      <c r="R106" s="5"/>
      <c r="S106" s="5"/>
      <c r="U106" s="5"/>
      <c r="V106" s="5"/>
    </row>
    <row r="107" spans="1:22" s="1" customFormat="1" ht="22" customHeight="1">
      <c r="A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U107" s="5"/>
      <c r="V107" s="4"/>
    </row>
    <row r="108" spans="1:22" s="1" customFormat="1" ht="22" customHeight="1">
      <c r="A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2"/>
      <c r="P108" s="12"/>
      <c r="Q108" s="12"/>
      <c r="R108" s="12"/>
      <c r="S108" s="5"/>
      <c r="U108" s="5"/>
      <c r="V108" s="5"/>
    </row>
    <row r="109" spans="1:22" s="1" customFormat="1" ht="22" customHeight="1">
      <c r="A109" s="4"/>
      <c r="B109" s="4"/>
      <c r="C109" s="4"/>
      <c r="D109" s="4"/>
      <c r="E109" s="4"/>
      <c r="F109" s="5"/>
      <c r="G109" s="5"/>
      <c r="H109" s="5"/>
      <c r="I109" s="5"/>
      <c r="J109" s="4"/>
      <c r="K109" s="4"/>
      <c r="L109" s="4"/>
      <c r="M109" s="4"/>
      <c r="N109" s="4"/>
      <c r="O109" s="5"/>
      <c r="P109" s="5"/>
      <c r="Q109" s="5"/>
      <c r="R109" s="5"/>
      <c r="S109" s="5"/>
      <c r="U109" s="5"/>
    </row>
    <row r="110" spans="1:22" s="4" customFormat="1" ht="22" customHeight="1">
      <c r="A110" s="5"/>
      <c r="B110" s="23"/>
      <c r="C110" s="23"/>
      <c r="D110" s="23"/>
      <c r="E110" s="23"/>
      <c r="F110" s="42"/>
      <c r="G110" s="42"/>
      <c r="H110" s="42"/>
      <c r="J110" s="5"/>
      <c r="K110" s="5"/>
      <c r="L110" s="5"/>
      <c r="M110" s="5"/>
      <c r="N110" s="5"/>
      <c r="O110" s="5"/>
      <c r="P110" s="5"/>
      <c r="Q110" s="5"/>
      <c r="R110" s="5"/>
      <c r="S110" s="5"/>
      <c r="U110" s="6"/>
      <c r="V110" s="5"/>
    </row>
    <row r="111" spans="1:22" s="5" customFormat="1" ht="22" customHeight="1">
      <c r="A111" s="4"/>
      <c r="B111" s="14"/>
      <c r="C111" s="14"/>
      <c r="D111" s="14"/>
      <c r="E111" s="14"/>
      <c r="F111" s="14"/>
      <c r="G111" s="14"/>
      <c r="H111" s="14"/>
      <c r="U111" s="1"/>
    </row>
    <row r="112" spans="1:22" s="5" customFormat="1" ht="22" customHeight="1">
      <c r="A112" s="33"/>
      <c r="B112" s="1"/>
      <c r="C112" s="1"/>
      <c r="D112" s="1"/>
      <c r="E112" s="1"/>
      <c r="U112" s="1"/>
      <c r="V112" s="4"/>
    </row>
    <row r="113" spans="1:26" s="4" customFormat="1" ht="22" customHeight="1">
      <c r="A113" s="33"/>
      <c r="B113" s="10"/>
      <c r="C113" s="1"/>
      <c r="D113" s="1"/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U113" s="1"/>
      <c r="V113" s="1"/>
    </row>
    <row r="114" spans="1:26" s="5" customFormat="1" ht="22" customHeight="1">
      <c r="A114" s="4"/>
      <c r="B114" s="4"/>
      <c r="C114" s="10"/>
      <c r="D114" s="4"/>
      <c r="E114" s="4"/>
      <c r="J114" s="1"/>
      <c r="K114" s="1"/>
      <c r="L114" s="1"/>
      <c r="M114" s="1"/>
      <c r="N114" s="1"/>
      <c r="S114" s="1"/>
      <c r="U114" s="1"/>
      <c r="V114" s="1"/>
    </row>
    <row r="115" spans="1:26" s="5" customFormat="1" ht="22" customHeight="1">
      <c r="B115" s="32"/>
      <c r="F115" s="1"/>
      <c r="G115" s="1"/>
      <c r="H115" s="1"/>
      <c r="I115" s="1"/>
      <c r="J115" s="1"/>
      <c r="K115" s="1"/>
      <c r="L115" s="1"/>
      <c r="M115" s="1"/>
      <c r="N115" s="1"/>
      <c r="S115" s="1"/>
      <c r="U115" s="4"/>
      <c r="V115" s="1"/>
    </row>
    <row r="116" spans="1:26" s="5" customFormat="1" ht="22" customHeight="1">
      <c r="B116" s="32"/>
      <c r="I116" s="1"/>
      <c r="J116" s="1"/>
      <c r="K116" s="1"/>
      <c r="L116" s="1"/>
      <c r="M116" s="1"/>
      <c r="N116" s="1"/>
      <c r="O116" s="4"/>
      <c r="P116" s="4"/>
      <c r="Q116" s="4"/>
      <c r="R116" s="4"/>
      <c r="S116" s="1"/>
      <c r="V116" s="4"/>
    </row>
    <row r="117" spans="1:26" s="4" customFormat="1" ht="22" customHeight="1">
      <c r="B117" s="1"/>
      <c r="C117" s="1"/>
      <c r="D117" s="1"/>
      <c r="E117" s="1"/>
      <c r="F117" s="1"/>
      <c r="G117" s="1"/>
      <c r="H117" s="1"/>
      <c r="I117" s="1"/>
      <c r="O117" s="6"/>
      <c r="P117" s="6"/>
      <c r="Q117" s="6"/>
      <c r="R117" s="6"/>
      <c r="U117" s="5"/>
      <c r="V117" s="5"/>
    </row>
    <row r="118" spans="1:26" s="1" customFormat="1" ht="22" customHeight="1">
      <c r="A118" s="5"/>
      <c r="D118" s="5"/>
      <c r="E118" s="5"/>
      <c r="F118" s="5"/>
      <c r="G118" s="5"/>
      <c r="H118" s="5"/>
      <c r="I118" s="4"/>
      <c r="J118" s="5"/>
      <c r="K118" s="5"/>
      <c r="L118" s="5"/>
      <c r="M118" s="5"/>
      <c r="N118" s="5"/>
      <c r="S118" s="5"/>
      <c r="U118" s="5"/>
      <c r="V118" s="5"/>
    </row>
    <row r="119" spans="1:26" s="5" customFormat="1" ht="22" customHeight="1">
      <c r="B119" s="1"/>
      <c r="O119" s="1"/>
      <c r="P119" s="1"/>
      <c r="Q119" s="1"/>
      <c r="R119" s="1"/>
      <c r="U119" s="4"/>
      <c r="V119" s="4"/>
    </row>
    <row r="120" spans="1:26" s="5" customFormat="1" ht="22" customHeight="1">
      <c r="B120" s="1"/>
      <c r="J120" s="4"/>
      <c r="K120" s="4"/>
      <c r="L120" s="4"/>
      <c r="M120" s="4"/>
      <c r="N120" s="4"/>
      <c r="O120" s="1"/>
      <c r="P120" s="1"/>
      <c r="Q120" s="1"/>
      <c r="R120" s="1"/>
      <c r="S120" s="4"/>
    </row>
    <row r="121" spans="1:26" s="1" customFormat="1" ht="22" customHeight="1">
      <c r="A121" s="4"/>
      <c r="B121" s="30"/>
      <c r="C121" s="45"/>
      <c r="D121" s="45"/>
      <c r="E121" s="45"/>
      <c r="F121" s="45"/>
      <c r="G121" s="45"/>
      <c r="H121" s="45"/>
      <c r="I121" s="4"/>
      <c r="J121" s="4"/>
      <c r="K121" s="4"/>
      <c r="L121" s="4"/>
      <c r="M121" s="4"/>
      <c r="N121" s="4"/>
      <c r="S121" s="5"/>
      <c r="U121" s="5"/>
      <c r="V121" s="5"/>
    </row>
    <row r="122" spans="1:26" s="1" customFormat="1" ht="22" customHeight="1">
      <c r="F122" s="4"/>
      <c r="G122" s="4"/>
      <c r="H122" s="4"/>
      <c r="I122" s="4"/>
      <c r="J122" s="5"/>
      <c r="K122" s="5"/>
      <c r="L122" s="5"/>
      <c r="M122" s="5"/>
      <c r="N122" s="5"/>
      <c r="O122" s="4"/>
      <c r="P122" s="4"/>
      <c r="Q122" s="4"/>
      <c r="R122" s="4"/>
      <c r="S122" s="5"/>
      <c r="U122" s="5"/>
      <c r="V122" s="5"/>
    </row>
    <row r="123" spans="1:26" s="1" customFormat="1" ht="22" customHeight="1">
      <c r="A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U123" s="5"/>
      <c r="V123" s="4"/>
    </row>
    <row r="124" spans="1:26" s="4" customFormat="1" ht="22" customHeight="1">
      <c r="A124" s="5"/>
      <c r="B124" s="1"/>
      <c r="C124" s="5"/>
      <c r="D124" s="5"/>
      <c r="E124" s="5"/>
      <c r="F124" s="23"/>
      <c r="G124" s="23"/>
      <c r="H124" s="23"/>
      <c r="I124" s="5"/>
      <c r="O124" s="5"/>
      <c r="P124" s="5"/>
      <c r="Q124" s="5"/>
      <c r="R124" s="5"/>
      <c r="U124" s="1"/>
      <c r="V124" s="5"/>
    </row>
    <row r="125" spans="1:26" s="1" customFormat="1" ht="22" customHeight="1">
      <c r="F125" s="46"/>
      <c r="G125" s="4"/>
      <c r="H125" s="4"/>
      <c r="I125" s="4"/>
      <c r="S125" s="5"/>
      <c r="T125" s="5"/>
      <c r="U125" s="5"/>
      <c r="V125" s="5"/>
      <c r="Z125" s="5"/>
    </row>
    <row r="126" spans="1:26" s="1" customFormat="1" ht="22" customHeight="1">
      <c r="B126" s="7"/>
      <c r="J126" s="5"/>
      <c r="K126" s="5"/>
      <c r="L126" s="5"/>
      <c r="M126" s="5"/>
      <c r="N126" s="5"/>
      <c r="O126" s="5"/>
      <c r="P126" s="5"/>
      <c r="Q126" s="5"/>
      <c r="R126" s="5"/>
      <c r="S126" s="4"/>
      <c r="T126" s="4"/>
      <c r="U126" s="4"/>
      <c r="V126" s="4"/>
      <c r="W126" s="5"/>
    </row>
    <row r="127" spans="1:26" s="1" customFormat="1" ht="22" customHeight="1">
      <c r="B127" s="33"/>
      <c r="C127" s="9"/>
      <c r="D127" s="9"/>
      <c r="E127" s="9"/>
      <c r="F127" s="47"/>
      <c r="G127" s="47"/>
      <c r="H127" s="4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 spans="1:26" s="10" customFormat="1" ht="22" customHeight="1">
      <c r="A128" s="48"/>
      <c r="B128" s="7"/>
      <c r="C128" s="1"/>
      <c r="D128" s="1"/>
      <c r="E128" s="1"/>
      <c r="F128" s="5"/>
      <c r="G128" s="5"/>
      <c r="H128" s="5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5"/>
      <c r="T128" s="5"/>
      <c r="U128" s="5"/>
      <c r="V128" s="5"/>
      <c r="W128" s="1"/>
      <c r="X128" s="5"/>
      <c r="Y128" s="5"/>
      <c r="Z128" s="1"/>
    </row>
    <row r="129" spans="1:26" s="10" customFormat="1" ht="22" customHeight="1">
      <c r="A129" s="4"/>
      <c r="B129" s="1"/>
      <c r="C129" s="42"/>
      <c r="D129" s="42"/>
      <c r="E129" s="42"/>
      <c r="F129" s="42"/>
      <c r="G129" s="42"/>
      <c r="H129" s="4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5"/>
      <c r="T129" s="5"/>
      <c r="U129" s="5"/>
      <c r="V129" s="5"/>
      <c r="W129" s="1"/>
      <c r="X129" s="5"/>
      <c r="Y129" s="5"/>
      <c r="Z129" s="1"/>
    </row>
    <row r="130" spans="1:26" s="2" customFormat="1" ht="22" customHeight="1">
      <c r="A130" s="33"/>
      <c r="B130" s="1"/>
      <c r="C130" s="49"/>
      <c r="D130" s="49"/>
      <c r="E130" s="49"/>
      <c r="F130" s="49"/>
      <c r="G130" s="49"/>
      <c r="H130" s="4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5"/>
      <c r="T130" s="5"/>
      <c r="U130" s="5"/>
      <c r="V130" s="5"/>
      <c r="W130" s="1"/>
      <c r="X130" s="4"/>
      <c r="Y130" s="4"/>
      <c r="Z130" s="4"/>
    </row>
    <row r="131" spans="1:26" s="2" customFormat="1" ht="22" customHeight="1">
      <c r="A131" s="33"/>
      <c r="B131" s="30"/>
      <c r="C131" s="30"/>
      <c r="D131" s="30"/>
      <c r="E131" s="30"/>
      <c r="F131" s="30"/>
      <c r="G131" s="30"/>
      <c r="H131" s="3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4"/>
      <c r="Y131" s="4"/>
      <c r="Z131" s="4"/>
    </row>
    <row r="132" spans="1:26" s="1" customFormat="1" ht="22" customHeight="1">
      <c r="A132" s="33"/>
      <c r="B132" s="50"/>
      <c r="C132" s="51"/>
      <c r="D132" s="51"/>
      <c r="E132" s="51"/>
      <c r="J132" s="4"/>
      <c r="K132" s="4"/>
      <c r="L132" s="4"/>
      <c r="M132" s="4"/>
      <c r="N132" s="4"/>
      <c r="O132" s="4"/>
      <c r="P132" s="4"/>
      <c r="Q132" s="4"/>
      <c r="R132" s="4"/>
      <c r="X132" s="5"/>
      <c r="Y132" s="5"/>
    </row>
    <row r="133" spans="1:26" s="1" customFormat="1" ht="22" customHeight="1">
      <c r="A133" s="10"/>
      <c r="C133" s="10"/>
      <c r="D133" s="10"/>
      <c r="E133" s="10"/>
      <c r="F133" s="10"/>
      <c r="G133" s="10"/>
      <c r="H133" s="10"/>
      <c r="I133" s="4"/>
      <c r="X133" s="5"/>
      <c r="Y133" s="5"/>
    </row>
    <row r="134" spans="1:26" s="1" customFormat="1" ht="22" customHeight="1">
      <c r="A134" s="10"/>
      <c r="B134" s="30"/>
      <c r="C134" s="30"/>
      <c r="D134" s="30"/>
      <c r="E134" s="30"/>
      <c r="F134" s="30"/>
      <c r="G134" s="30"/>
      <c r="H134" s="30"/>
      <c r="U134" s="4"/>
      <c r="V134" s="4"/>
      <c r="W134" s="4"/>
      <c r="X134" s="4"/>
      <c r="Y134" s="4"/>
      <c r="Z134" s="10"/>
    </row>
    <row r="135" spans="1:26" s="1" customFormat="1" ht="22" customHeight="1">
      <c r="A135" s="2"/>
      <c r="B135" s="37"/>
      <c r="C135" s="2"/>
      <c r="D135" s="2"/>
      <c r="E135" s="2"/>
      <c r="F135" s="2"/>
      <c r="G135" s="2"/>
      <c r="H135" s="2"/>
      <c r="U135" s="5"/>
      <c r="V135" s="5"/>
      <c r="W135" s="5"/>
      <c r="Z135" s="10"/>
    </row>
    <row r="136" spans="1:26" s="1" customFormat="1" ht="22" customHeight="1">
      <c r="A136" s="33"/>
      <c r="B136" s="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"/>
      <c r="V136" s="5"/>
      <c r="W136" s="5"/>
      <c r="X136" s="5"/>
      <c r="Y136" s="5"/>
      <c r="Z136" s="2"/>
    </row>
    <row r="137" spans="1:26" s="1" customFormat="1" ht="22" customHeight="1">
      <c r="A137" s="33"/>
      <c r="B137" s="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4"/>
      <c r="V137" s="4"/>
      <c r="W137" s="4"/>
      <c r="X137" s="5"/>
      <c r="Y137" s="5"/>
    </row>
    <row r="138" spans="1:26" s="1" customFormat="1" ht="18" customHeight="1">
      <c r="A138" s="33"/>
      <c r="B138" s="7"/>
      <c r="F138" s="10"/>
      <c r="G138" s="10"/>
      <c r="H138" s="10"/>
      <c r="I138" s="1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4"/>
      <c r="V138" s="4"/>
      <c r="W138" s="4"/>
    </row>
    <row r="139" spans="1:26" s="1" customFormat="1" ht="22" customHeight="1">
      <c r="A139" s="33"/>
      <c r="I139" s="2"/>
      <c r="U139" s="5"/>
      <c r="V139" s="5"/>
      <c r="W139" s="5"/>
    </row>
    <row r="140" spans="1:26" s="1" customFormat="1" ht="22" customHeight="1">
      <c r="A140" s="33"/>
      <c r="U140" s="5"/>
      <c r="V140" s="5"/>
      <c r="W140" s="5"/>
    </row>
    <row r="141" spans="1:26" ht="22" customHeight="1">
      <c r="A141" s="3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4"/>
      <c r="W141" s="4"/>
      <c r="X141" s="1"/>
      <c r="Y141" s="1"/>
      <c r="Z141" s="1"/>
    </row>
    <row r="142" spans="1:26" ht="22" customHeight="1">
      <c r="A142" s="33"/>
      <c r="B142" s="30"/>
      <c r="C142" s="30"/>
      <c r="D142" s="30"/>
      <c r="E142" s="30"/>
      <c r="F142" s="30"/>
      <c r="G142" s="30"/>
      <c r="H142" s="3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4"/>
      <c r="Y142" s="4"/>
      <c r="Z142" s="1"/>
    </row>
    <row r="143" spans="1:26" ht="22" customHeight="1">
      <c r="A143" s="33"/>
      <c r="C143" s="33"/>
      <c r="D143" s="33"/>
      <c r="E143" s="3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5"/>
      <c r="V143" s="5"/>
      <c r="W143" s="5"/>
      <c r="X143" s="1"/>
      <c r="Y143" s="1"/>
      <c r="Z143" s="1"/>
    </row>
    <row r="144" spans="1:26" ht="22" customHeight="1">
      <c r="A144" s="52"/>
      <c r="B144" s="31"/>
      <c r="C144" s="53"/>
      <c r="D144" s="53"/>
      <c r="E144" s="53"/>
      <c r="F144" s="53"/>
      <c r="G144" s="53"/>
      <c r="H144" s="5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5"/>
      <c r="V144" s="5"/>
      <c r="W144" s="5"/>
      <c r="X144" s="1"/>
      <c r="Y144" s="1"/>
      <c r="Z144" s="1"/>
    </row>
    <row r="145" spans="1:26" ht="2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" customHeight="1">
      <c r="A146" s="2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0"/>
      <c r="Y146" s="10"/>
      <c r="Z146" s="1"/>
    </row>
    <row r="147" spans="1:26" ht="2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0"/>
      <c r="Y147" s="10"/>
    </row>
    <row r="148" spans="1:26" ht="22" customHeight="1">
      <c r="A148" s="1"/>
      <c r="B148" s="1"/>
      <c r="C148" s="1"/>
      <c r="D148" s="1"/>
      <c r="E148" s="1"/>
      <c r="F148" s="54"/>
      <c r="G148" s="1"/>
      <c r="H148" s="1"/>
      <c r="I148" s="1"/>
      <c r="U148" s="1"/>
      <c r="V148" s="1"/>
      <c r="W148" s="1"/>
      <c r="X148" s="2"/>
      <c r="Y148" s="2"/>
    </row>
    <row r="149" spans="1:26" ht="22" customHeight="1">
      <c r="A149" s="1"/>
      <c r="D149" s="1"/>
      <c r="E149" s="1"/>
      <c r="F149" s="39"/>
      <c r="G149" s="1"/>
      <c r="U149" s="4"/>
      <c r="V149" s="4"/>
      <c r="W149" s="4"/>
      <c r="X149" s="1"/>
      <c r="Y149" s="1"/>
    </row>
    <row r="150" spans="1:26" ht="22" customHeight="1">
      <c r="A150" s="1"/>
      <c r="D150" s="1"/>
      <c r="E150" s="1"/>
      <c r="F150" s="39"/>
      <c r="G150" s="1"/>
      <c r="U150" s="1"/>
      <c r="V150" s="1"/>
      <c r="W150" s="1"/>
      <c r="X150" s="1"/>
      <c r="Y150" s="1"/>
    </row>
    <row r="151" spans="1:26" ht="22" customHeight="1">
      <c r="A151" s="1"/>
      <c r="D151" s="1"/>
      <c r="E151" s="1"/>
      <c r="F151" s="39"/>
      <c r="G151" s="1"/>
      <c r="U151" s="1"/>
      <c r="V151" s="1"/>
      <c r="W151" s="1"/>
      <c r="X151" s="1"/>
      <c r="Y151" s="1"/>
    </row>
    <row r="152" spans="1:26" ht="22" customHeight="1">
      <c r="A152" s="1"/>
      <c r="D152" s="1"/>
      <c r="E152" s="1"/>
      <c r="F152" s="1"/>
      <c r="G152" s="1"/>
      <c r="U152" s="1"/>
      <c r="V152" s="1"/>
      <c r="W152" s="1"/>
      <c r="X152" s="1"/>
      <c r="Y152" s="1"/>
    </row>
    <row r="153" spans="1:26" ht="22" customHeight="1">
      <c r="A153" s="25"/>
      <c r="D153" s="1"/>
      <c r="E153" s="1"/>
      <c r="F153" s="39"/>
      <c r="G153" s="1"/>
      <c r="U153" s="10"/>
      <c r="V153" s="10"/>
      <c r="W153" s="10"/>
      <c r="X153" s="1"/>
      <c r="Y153" s="1"/>
    </row>
    <row r="154" spans="1:26" ht="22" customHeight="1">
      <c r="A154" s="1"/>
      <c r="D154" s="1"/>
      <c r="E154" s="1"/>
      <c r="F154" s="1"/>
      <c r="G154" s="1"/>
      <c r="U154" s="10"/>
      <c r="V154" s="10"/>
      <c r="W154" s="10"/>
      <c r="X154" s="1"/>
      <c r="Y154" s="1"/>
    </row>
    <row r="155" spans="1:26" ht="22" customHeight="1">
      <c r="A155" s="33"/>
      <c r="D155" s="39"/>
      <c r="E155" s="1"/>
      <c r="F155" s="39"/>
      <c r="G155" s="1"/>
      <c r="U155" s="2"/>
      <c r="V155" s="2"/>
      <c r="W155" s="2"/>
      <c r="X155" s="1"/>
      <c r="Y155" s="1"/>
    </row>
    <row r="156" spans="1:26" ht="22" customHeight="1">
      <c r="A156" s="33"/>
      <c r="D156" s="1"/>
      <c r="E156" s="1"/>
      <c r="F156" s="39"/>
      <c r="G156" s="1"/>
      <c r="U156" s="1"/>
      <c r="V156" s="1"/>
      <c r="W156" s="1"/>
      <c r="X156" s="1"/>
      <c r="Y156" s="1"/>
    </row>
    <row r="157" spans="1:26" ht="22" customHeight="1">
      <c r="A157" s="1"/>
      <c r="C157" s="1"/>
      <c r="D157" s="1"/>
      <c r="E157" s="1"/>
      <c r="F157" s="1"/>
      <c r="G157" s="1"/>
      <c r="U157" s="1"/>
      <c r="V157" s="1"/>
      <c r="W157" s="1"/>
      <c r="X157" s="1"/>
      <c r="Y157" s="1"/>
    </row>
    <row r="158" spans="1:26" ht="22" customHeight="1">
      <c r="A158" s="33"/>
      <c r="C158" s="1"/>
      <c r="D158" s="1"/>
      <c r="E158" s="1"/>
      <c r="F158" s="1"/>
      <c r="G158" s="1"/>
      <c r="U158" s="1"/>
      <c r="V158" s="1"/>
      <c r="W158" s="1"/>
    </row>
    <row r="159" spans="1:26" ht="22" customHeight="1">
      <c r="A159" s="33"/>
      <c r="C159" s="1"/>
      <c r="D159" s="1"/>
      <c r="E159" s="1"/>
      <c r="F159" s="1"/>
      <c r="G159" s="1"/>
      <c r="U159" s="1"/>
      <c r="V159" s="1"/>
      <c r="W159" s="1"/>
    </row>
    <row r="160" spans="1:26" ht="22" customHeight="1">
      <c r="A160" s="33"/>
      <c r="C160" s="1"/>
      <c r="D160" s="1"/>
      <c r="E160" s="1"/>
      <c r="F160" s="1"/>
      <c r="U160" s="1"/>
      <c r="V160" s="1"/>
      <c r="W160" s="1"/>
    </row>
    <row r="161" spans="1:8" ht="22" customHeight="1">
      <c r="A161" s="33"/>
      <c r="C161" s="1"/>
      <c r="D161" s="1"/>
      <c r="E161" s="1"/>
      <c r="F161" s="1"/>
    </row>
    <row r="162" spans="1:8" ht="22" customHeight="1">
      <c r="A162" s="33"/>
      <c r="C162" s="1"/>
      <c r="D162" s="1"/>
      <c r="E162" s="1"/>
      <c r="F162" s="39"/>
    </row>
    <row r="163" spans="1:8" ht="22" customHeight="1">
      <c r="A163" s="33"/>
      <c r="C163" s="1"/>
      <c r="D163" s="1"/>
      <c r="E163" s="1"/>
      <c r="F163" s="39"/>
    </row>
    <row r="164" spans="1:8" ht="22" customHeight="1">
      <c r="A164" s="33"/>
      <c r="C164" s="1"/>
      <c r="D164" s="1"/>
      <c r="E164" s="1"/>
      <c r="F164" s="1"/>
    </row>
    <row r="165" spans="1:8" ht="22" customHeight="1">
      <c r="A165" s="33"/>
    </row>
    <row r="166" spans="1:8" ht="22" customHeight="1">
      <c r="A166" s="44"/>
    </row>
    <row r="167" spans="1:8" ht="22" customHeight="1">
      <c r="A167" s="33"/>
    </row>
    <row r="168" spans="1:8" ht="22" customHeight="1">
      <c r="A168" s="33"/>
      <c r="F168" s="55"/>
    </row>
    <row r="169" spans="1:8" ht="22" customHeight="1">
      <c r="A169" s="33"/>
      <c r="F169" s="55"/>
    </row>
    <row r="170" spans="1:8" ht="22" customHeight="1">
      <c r="A170" s="33"/>
      <c r="F170" s="55"/>
    </row>
    <row r="171" spans="1:8" ht="22" customHeight="1">
      <c r="A171" s="1"/>
    </row>
    <row r="172" spans="1:8" ht="22" customHeight="1">
      <c r="A172" s="1"/>
    </row>
    <row r="173" spans="1:8" ht="22" customHeight="1">
      <c r="A173" s="44"/>
    </row>
    <row r="174" spans="1:8" ht="22" customHeight="1">
      <c r="A174" s="33"/>
      <c r="B174" s="1"/>
      <c r="C174" s="1"/>
      <c r="D174" s="1"/>
      <c r="E174" s="1"/>
      <c r="F174" s="1"/>
      <c r="G174" s="1"/>
      <c r="H174" s="1"/>
    </row>
    <row r="175" spans="1:8" ht="22" customHeight="1">
      <c r="A175" s="4"/>
      <c r="B175" s="1"/>
      <c r="C175" s="1"/>
      <c r="D175" s="1"/>
      <c r="E175" s="1"/>
      <c r="F175" s="1"/>
      <c r="G175" s="1"/>
      <c r="H175" s="1"/>
    </row>
    <row r="176" spans="1:8" ht="22" customHeight="1">
      <c r="A176" s="1"/>
      <c r="B176" s="1"/>
      <c r="C176" s="1"/>
      <c r="D176" s="1"/>
      <c r="E176" s="1"/>
      <c r="F176" s="1"/>
      <c r="G176" s="1"/>
      <c r="H176" s="1"/>
    </row>
    <row r="177" spans="1:9" ht="22" customHeight="1">
      <c r="A177" s="4"/>
      <c r="B177" s="1"/>
      <c r="C177" s="1"/>
      <c r="D177" s="1"/>
      <c r="E177" s="1"/>
      <c r="F177" s="1"/>
      <c r="G177" s="1"/>
      <c r="H177" s="1"/>
    </row>
    <row r="178" spans="1:9" ht="22" customHeight="1">
      <c r="A178" s="4"/>
      <c r="B178" s="1"/>
      <c r="C178" s="1"/>
      <c r="D178" s="1"/>
      <c r="E178" s="1"/>
      <c r="F178" s="1"/>
      <c r="G178" s="1"/>
      <c r="H178" s="1"/>
    </row>
    <row r="179" spans="1:9" ht="22" customHeight="1">
      <c r="A179" s="4"/>
      <c r="B179" s="1"/>
      <c r="C179" s="1"/>
      <c r="D179" s="1"/>
      <c r="E179" s="1"/>
      <c r="F179" s="1"/>
      <c r="G179" s="1"/>
      <c r="H179" s="1"/>
    </row>
    <row r="180" spans="1:9" ht="22" customHeight="1">
      <c r="A180" s="1"/>
      <c r="B180" s="1"/>
      <c r="C180" s="1"/>
      <c r="D180" s="1"/>
      <c r="E180" s="1"/>
      <c r="F180" s="1"/>
      <c r="G180" s="1"/>
      <c r="H180" s="1"/>
    </row>
    <row r="181" spans="1:9" ht="22" customHeight="1">
      <c r="A181" s="4"/>
      <c r="B181" s="14"/>
      <c r="C181" s="14"/>
      <c r="D181" s="14"/>
      <c r="E181" s="14"/>
      <c r="F181" s="14"/>
      <c r="G181" s="14"/>
      <c r="H181" s="14"/>
      <c r="I181" s="14"/>
    </row>
    <row r="182" spans="1:9" ht="22" customHeight="1">
      <c r="A182" s="4"/>
      <c r="B182" s="1"/>
      <c r="C182" s="1"/>
      <c r="D182" s="1"/>
      <c r="E182" s="1"/>
      <c r="G182" s="39"/>
      <c r="H182" s="39"/>
      <c r="I182" s="39"/>
    </row>
    <row r="183" spans="1:9" ht="22" customHeight="1">
      <c r="A183" s="4"/>
      <c r="G183" s="1"/>
      <c r="H183" s="1"/>
      <c r="I183" s="1"/>
    </row>
    <row r="184" spans="1:9" ht="22" customHeight="1">
      <c r="A184" s="1"/>
    </row>
    <row r="185" spans="1:9" ht="22" customHeight="1">
      <c r="A185" s="4"/>
      <c r="B185" s="39"/>
    </row>
    <row r="186" spans="1:9" ht="22" customHeight="1">
      <c r="A186" s="4"/>
      <c r="B186" s="38"/>
    </row>
    <row r="187" spans="1:9" ht="22" customHeight="1">
      <c r="A187" s="4"/>
    </row>
    <row r="188" spans="1:9" ht="22" customHeight="1">
      <c r="A188" s="4"/>
      <c r="B188" s="14"/>
    </row>
    <row r="189" spans="1:9" ht="22" customHeight="1">
      <c r="A189" s="4"/>
      <c r="B189" s="1"/>
    </row>
    <row r="190" spans="1:9" ht="22" customHeight="1">
      <c r="A190" s="4"/>
      <c r="B190" s="14"/>
    </row>
    <row r="191" spans="1:9" ht="22" customHeight="1">
      <c r="A191" s="4"/>
      <c r="B191" s="1"/>
    </row>
    <row r="192" spans="1:9" ht="22" customHeight="1">
      <c r="A192" s="4"/>
      <c r="B192" s="14"/>
    </row>
    <row r="193" spans="1:9" ht="22" customHeight="1">
      <c r="A193" s="4"/>
      <c r="B193" s="14"/>
    </row>
    <row r="194" spans="1:9" ht="22" customHeight="1">
      <c r="A194" s="1"/>
    </row>
    <row r="195" spans="1:9" ht="22" customHeight="1">
      <c r="A195" s="1"/>
    </row>
    <row r="196" spans="1:9" ht="22" customHeight="1">
      <c r="A196" s="44"/>
    </row>
    <row r="197" spans="1:9" ht="22" customHeight="1">
      <c r="A197" s="33"/>
      <c r="B197" s="1"/>
      <c r="C197" s="1"/>
      <c r="D197" s="1"/>
      <c r="E197" s="1"/>
      <c r="F197" s="1"/>
      <c r="G197" s="1"/>
      <c r="H197" s="1"/>
      <c r="I197" s="1"/>
    </row>
    <row r="198" spans="1:9" ht="22" customHeight="1">
      <c r="A198" s="33"/>
      <c r="B198" s="28"/>
      <c r="C198" s="28"/>
      <c r="D198" s="28"/>
      <c r="E198" s="28"/>
      <c r="F198" s="28"/>
      <c r="G198" s="28"/>
      <c r="H198" s="28"/>
      <c r="I198" s="1"/>
    </row>
    <row r="199" spans="1:9" ht="22" customHeight="1">
      <c r="A199" s="33"/>
      <c r="B199" s="1"/>
      <c r="C199" s="1"/>
      <c r="D199" s="1"/>
      <c r="E199" s="1"/>
      <c r="F199" s="1"/>
      <c r="G199" s="1"/>
      <c r="H199" s="1"/>
      <c r="I199" s="1"/>
    </row>
    <row r="200" spans="1:9" ht="22" customHeight="1">
      <c r="A200" s="33"/>
      <c r="B200" s="1"/>
      <c r="C200" s="1"/>
      <c r="D200" s="1"/>
      <c r="E200" s="1"/>
      <c r="F200" s="1"/>
      <c r="G200" s="1"/>
      <c r="H200" s="1"/>
      <c r="I200" s="1"/>
    </row>
    <row r="201" spans="1:9" ht="22" customHeight="1">
      <c r="A201" s="33"/>
      <c r="B201" s="1"/>
      <c r="C201" s="1"/>
      <c r="D201" s="1"/>
      <c r="E201" s="1"/>
      <c r="F201" s="1"/>
      <c r="G201" s="1"/>
      <c r="H201" s="1"/>
      <c r="I201" s="1"/>
    </row>
    <row r="202" spans="1:9" ht="22" customHeight="1">
      <c r="A202" s="33"/>
      <c r="B202" s="1"/>
      <c r="C202" s="1"/>
      <c r="D202" s="1"/>
      <c r="E202" s="1"/>
      <c r="F202" s="1"/>
      <c r="G202" s="1"/>
      <c r="H202" s="1"/>
      <c r="I202" s="1"/>
    </row>
    <row r="203" spans="1:9" ht="22" customHeight="1">
      <c r="A203" s="33"/>
      <c r="B203" s="1"/>
      <c r="C203" s="1"/>
      <c r="D203" s="1"/>
      <c r="E203" s="1"/>
      <c r="F203" s="1"/>
      <c r="G203" s="1"/>
      <c r="H203" s="1"/>
      <c r="I203" s="1"/>
    </row>
    <row r="204" spans="1:9" ht="22" customHeight="1">
      <c r="A204" s="33"/>
      <c r="B204" s="39"/>
      <c r="C204" s="39"/>
      <c r="D204" s="39"/>
      <c r="E204" s="39"/>
      <c r="F204" s="39"/>
      <c r="G204" s="39"/>
      <c r="H204" s="39"/>
      <c r="I204" s="1"/>
    </row>
    <row r="205" spans="1:9" ht="22" customHeight="1">
      <c r="A205" s="33"/>
      <c r="B205" s="1"/>
      <c r="C205" s="39"/>
      <c r="D205" s="39"/>
      <c r="E205" s="39"/>
      <c r="F205" s="39"/>
      <c r="G205" s="39"/>
      <c r="H205" s="39"/>
      <c r="I205" s="1"/>
    </row>
    <row r="206" spans="1:9" ht="22" customHeight="1">
      <c r="A206" s="33"/>
      <c r="B206" s="39"/>
      <c r="C206" s="39"/>
      <c r="D206" s="39"/>
      <c r="E206" s="39"/>
      <c r="F206" s="39"/>
      <c r="G206" s="39"/>
      <c r="H206" s="39"/>
      <c r="I206" s="1"/>
    </row>
    <row r="207" spans="1:9" ht="22" customHeight="1">
      <c r="A207" s="33"/>
      <c r="B207" s="54"/>
      <c r="C207" s="54"/>
      <c r="D207" s="54"/>
      <c r="E207" s="54"/>
      <c r="F207" s="54"/>
      <c r="G207" s="54"/>
      <c r="H207" s="54"/>
      <c r="I207" s="1"/>
    </row>
    <row r="208" spans="1:9" ht="22" customHeight="1">
      <c r="A208" s="33"/>
      <c r="B208" s="54"/>
      <c r="C208" s="54"/>
      <c r="D208" s="54"/>
      <c r="E208" s="54"/>
      <c r="F208" s="54"/>
      <c r="G208" s="54"/>
      <c r="H208" s="54"/>
      <c r="I208" s="1"/>
    </row>
    <row r="209" spans="1:9" ht="22" customHeight="1">
      <c r="A209" s="33"/>
      <c r="B209" s="38"/>
      <c r="C209" s="38"/>
      <c r="D209" s="38"/>
      <c r="E209" s="38"/>
      <c r="F209" s="38"/>
      <c r="G209" s="1"/>
      <c r="H209" s="1"/>
      <c r="I209" s="1"/>
    </row>
    <row r="210" spans="1:9" ht="22" customHeight="1">
      <c r="A210" s="33"/>
      <c r="B210" s="41"/>
      <c r="C210" s="41"/>
      <c r="D210" s="41"/>
      <c r="E210" s="41"/>
      <c r="F210" s="41"/>
      <c r="G210" s="41"/>
      <c r="H210" s="41"/>
      <c r="I210" s="1"/>
    </row>
    <row r="211" spans="1:9" ht="22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22" customHeight="1">
      <c r="A212" s="25"/>
      <c r="B212" s="1"/>
      <c r="C212" s="1"/>
      <c r="D212" s="1"/>
      <c r="E212" s="1"/>
      <c r="F212" s="1"/>
      <c r="G212" s="1"/>
      <c r="H212" s="1"/>
      <c r="I212" s="1"/>
    </row>
    <row r="213" spans="1:9" ht="22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22" customHeight="1">
      <c r="A214" s="1"/>
      <c r="B214" s="30"/>
      <c r="C214" s="1"/>
      <c r="D214" s="1"/>
      <c r="E214" s="1"/>
      <c r="F214" s="1"/>
      <c r="G214" s="1"/>
      <c r="H214" s="1"/>
      <c r="I214" s="1"/>
    </row>
    <row r="215" spans="1:9" ht="22" customHeight="1">
      <c r="A215" s="1"/>
      <c r="B215" s="1"/>
      <c r="D215" s="1"/>
      <c r="E215" s="1"/>
      <c r="F215" s="1"/>
      <c r="G215" s="1"/>
      <c r="H215" s="1"/>
      <c r="I215" s="1"/>
    </row>
    <row r="216" spans="1:9" ht="22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22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22" customHeight="1">
      <c r="A218" s="1"/>
      <c r="B218" s="14"/>
      <c r="C218" s="1"/>
      <c r="D218" s="1"/>
      <c r="E218" s="1"/>
      <c r="F218" s="1"/>
      <c r="G218" s="1"/>
      <c r="H218" s="1"/>
      <c r="I218" s="1"/>
    </row>
    <row r="219" spans="1:9" ht="22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22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22" customHeight="1">
      <c r="A221" s="1"/>
      <c r="B221" s="14"/>
      <c r="C221" s="1"/>
      <c r="D221" s="1"/>
      <c r="E221" s="1"/>
      <c r="F221" s="1"/>
      <c r="G221" s="1"/>
      <c r="H221" s="1"/>
      <c r="I221" s="1"/>
    </row>
    <row r="222" spans="1:9" ht="22" customHeight="1">
      <c r="A222" s="1"/>
      <c r="B222" s="14"/>
      <c r="C222" s="1"/>
      <c r="D222" s="1"/>
      <c r="E222" s="1"/>
      <c r="F222" s="1"/>
      <c r="G222" s="1"/>
      <c r="H222" s="1"/>
      <c r="I222" s="1"/>
    </row>
    <row r="223" spans="1:9" ht="22" customHeight="1">
      <c r="A223" s="1"/>
      <c r="B223" s="1"/>
      <c r="C223" s="1"/>
      <c r="D223" s="1"/>
      <c r="E223" s="1"/>
      <c r="F223" s="1"/>
      <c r="G223" s="1"/>
      <c r="H223" s="1"/>
      <c r="I223" s="1"/>
    </row>
  </sheetData>
  <phoneticPr fontId="26" type="noConversion"/>
  <pageMargins left="0.75" right="0.75" top="1" bottom="1" header="0.5" footer="0.5"/>
  <pageSetup scale="40"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64A2-B216-514C-8B33-1097CD946C4B}">
  <dimension ref="A1:J38"/>
  <sheetViews>
    <sheetView zoomScale="93" zoomScaleNormal="100" workbookViewId="0">
      <selection activeCell="C38" sqref="C38:H38"/>
    </sheetView>
  </sheetViews>
  <sheetFormatPr baseColWidth="10" defaultRowHeight="13"/>
  <cols>
    <col min="1" max="1" width="17" customWidth="1"/>
    <col min="2" max="2" width="37" customWidth="1"/>
    <col min="3" max="10" width="11.83203125" bestFit="1" customWidth="1"/>
    <col min="12" max="12" width="23.6640625" customWidth="1"/>
    <col min="13" max="13" width="16" customWidth="1"/>
    <col min="15" max="15" width="17.33203125" customWidth="1"/>
  </cols>
  <sheetData>
    <row r="1" spans="1:10" ht="16" customHeight="1">
      <c r="A1" s="33" t="s">
        <v>0</v>
      </c>
    </row>
    <row r="4" spans="1:10" ht="18">
      <c r="B4" s="203" t="s">
        <v>1</v>
      </c>
      <c r="C4" s="203">
        <v>2022</v>
      </c>
      <c r="D4" s="203">
        <v>2023</v>
      </c>
      <c r="E4" s="203">
        <v>2024</v>
      </c>
      <c r="F4" s="203">
        <v>2025</v>
      </c>
      <c r="G4" s="203">
        <v>2026</v>
      </c>
      <c r="H4" s="203">
        <v>2027</v>
      </c>
      <c r="I4" s="203">
        <v>2028</v>
      </c>
      <c r="J4" s="203">
        <v>2029</v>
      </c>
    </row>
    <row r="5" spans="1:10" ht="18">
      <c r="B5" s="204" t="s">
        <v>43</v>
      </c>
      <c r="C5" s="205">
        <f>'PSKY IS'!B5</f>
        <v>21732.156421200001</v>
      </c>
      <c r="D5" s="205">
        <f>'PSKY IS'!C5</f>
        <v>20084.93176145</v>
      </c>
      <c r="E5" s="205">
        <f>'PSKY IS'!D5</f>
        <v>18778.744556602953</v>
      </c>
      <c r="F5" s="205">
        <f>'PSKY IS'!E5</f>
        <v>18612.982294328984</v>
      </c>
      <c r="G5" s="205">
        <f>'PSKY IS'!F5</f>
        <v>17651.094040856082</v>
      </c>
      <c r="H5" s="205">
        <f>'PSKY IS'!G5</f>
        <v>16716.035468956314</v>
      </c>
      <c r="I5" s="205">
        <f>'PSKY IS'!H5</f>
        <v>16040.303213422147</v>
      </c>
      <c r="J5" s="205">
        <f>'PSKY IS'!I5</f>
        <v>15265.991652432158</v>
      </c>
    </row>
    <row r="6" spans="1:10" ht="18">
      <c r="B6" s="204" t="s">
        <v>44</v>
      </c>
      <c r="C6" s="205">
        <f>'PSKY IS'!B6</f>
        <v>4904</v>
      </c>
      <c r="D6" s="205">
        <f>'PSKY IS'!C6</f>
        <v>6736</v>
      </c>
      <c r="E6" s="205">
        <f>'PSKY IS'!D6</f>
        <v>7632</v>
      </c>
      <c r="F6" s="205">
        <f>'PSKY IS'!E6</f>
        <v>8494.6666666666661</v>
      </c>
      <c r="G6" s="205">
        <f>'PSKY IS'!F6</f>
        <v>8664.56</v>
      </c>
      <c r="H6" s="205">
        <f>'PSKY IS'!G6</f>
        <v>8837.851200000001</v>
      </c>
      <c r="I6" s="205">
        <f>'PSKY IS'!H6</f>
        <v>9014.6082240000014</v>
      </c>
      <c r="J6" s="205">
        <f>'PSKY IS'!I6</f>
        <v>9194.9003884800022</v>
      </c>
    </row>
    <row r="7" spans="1:10" ht="18">
      <c r="B7" s="204" t="s">
        <v>45</v>
      </c>
      <c r="C7" s="205">
        <f>'PSKY IS'!B7</f>
        <v>3053</v>
      </c>
      <c r="D7" s="205">
        <f>'PSKY IS'!C7</f>
        <v>2957</v>
      </c>
      <c r="E7" s="205">
        <f>'PSKY IS'!D7</f>
        <v>2965</v>
      </c>
      <c r="F7" s="205">
        <f>'PSKY IS'!E7</f>
        <v>2900</v>
      </c>
      <c r="G7" s="205">
        <f>'PSKY IS'!F7</f>
        <v>3672.0230185497471</v>
      </c>
      <c r="H7" s="205">
        <f>'PSKY IS'!G7</f>
        <v>2635.0843709949413</v>
      </c>
      <c r="I7" s="205">
        <f>'PSKY IS'!H7</f>
        <v>2420.9856040104246</v>
      </c>
      <c r="J7" s="205">
        <f>'PSKY IS'!I7</f>
        <v>2381.8434444367313</v>
      </c>
    </row>
    <row r="8" spans="1:10" ht="18">
      <c r="B8" s="204" t="s">
        <v>41</v>
      </c>
      <c r="C8" s="205">
        <f>SUM(C5:C7)</f>
        <v>29689.156421200001</v>
      </c>
      <c r="D8" s="205">
        <f t="shared" ref="D8:J8" si="0">SUM(D5:D7)</f>
        <v>29777.93176145</v>
      </c>
      <c r="E8" s="205">
        <f t="shared" si="0"/>
        <v>29375.744556602953</v>
      </c>
      <c r="F8" s="205">
        <f t="shared" si="0"/>
        <v>30007.648960995648</v>
      </c>
      <c r="G8" s="205">
        <f t="shared" si="0"/>
        <v>29987.677059405829</v>
      </c>
      <c r="H8" s="205">
        <f t="shared" si="0"/>
        <v>28188.971039951255</v>
      </c>
      <c r="I8" s="205">
        <f t="shared" si="0"/>
        <v>27475.89704143257</v>
      </c>
      <c r="J8" s="205">
        <f t="shared" si="0"/>
        <v>26842.735485348891</v>
      </c>
    </row>
    <row r="9" spans="1:10" ht="18">
      <c r="B9" s="204" t="s">
        <v>104</v>
      </c>
      <c r="C9" s="205">
        <f>'PSKY IS'!B28</f>
        <v>2747</v>
      </c>
      <c r="D9" s="205">
        <f>'PSKY IS'!C28</f>
        <v>50</v>
      </c>
      <c r="E9" s="205">
        <f>'PSKY IS'!D28</f>
        <v>2161</v>
      </c>
      <c r="F9" s="205">
        <f>'PSKY IS'!E28</f>
        <v>2097.7382189136492</v>
      </c>
      <c r="G9" s="205">
        <f>'PSKY IS'!F28</f>
        <v>1420.4391055182418</v>
      </c>
      <c r="H9" s="205">
        <f>'PSKY IS'!G28</f>
        <v>1193.0183487958884</v>
      </c>
      <c r="I9" s="205">
        <f>'PSKY IS'!H28</f>
        <v>1048.4933442016816</v>
      </c>
      <c r="J9" s="205">
        <f>'PSKY IS'!I28</f>
        <v>888.90636818776068</v>
      </c>
    </row>
    <row r="10" spans="1:10" ht="18">
      <c r="B10" s="204" t="s">
        <v>100</v>
      </c>
      <c r="C10" s="205">
        <f>'PSKY IS'!B16</f>
        <v>2342</v>
      </c>
      <c r="D10" s="205">
        <f>'PSKY IS'!C16</f>
        <v>-368</v>
      </c>
      <c r="E10" s="205">
        <f>'PSKY IS'!D16</f>
        <v>1769</v>
      </c>
      <c r="F10" s="205">
        <f>'PSKY IS'!E16</f>
        <v>1697.3058700400866</v>
      </c>
      <c r="G10" s="205">
        <f>'PSKY IS'!F16</f>
        <v>1020.2732685422116</v>
      </c>
      <c r="H10" s="205">
        <f>'PSKY IS'!G16</f>
        <v>816.85506121116214</v>
      </c>
      <c r="I10" s="205">
        <f>'PSKY IS'!H16</f>
        <v>681.845560364638</v>
      </c>
      <c r="J10" s="205">
        <f>'PSKY IS'!I16</f>
        <v>530.70770908716622</v>
      </c>
    </row>
    <row r="11" spans="1:10" ht="18">
      <c r="B11" s="204" t="s">
        <v>49</v>
      </c>
      <c r="C11" s="205">
        <f>'PSKY IS'!B25</f>
        <v>1104</v>
      </c>
      <c r="D11" s="205">
        <f>'PSKY IS'!C25</f>
        <v>-525</v>
      </c>
      <c r="E11" s="205">
        <f>'PSKY IS'!D25</f>
        <v>848</v>
      </c>
      <c r="F11" s="205">
        <f>'PSKY IS'!E25</f>
        <v>786.97253670675332</v>
      </c>
      <c r="G11" s="205">
        <f>'PSKY IS'!F25</f>
        <v>109.9399352088783</v>
      </c>
      <c r="H11" s="205">
        <f>'PSKY IS'!G25</f>
        <v>-93.478272122171148</v>
      </c>
      <c r="I11" s="205">
        <f>'PSKY IS'!H25</f>
        <v>-228.48777296869528</v>
      </c>
      <c r="J11" s="205">
        <f>'PSKY IS'!I25</f>
        <v>-379.62562424616704</v>
      </c>
    </row>
    <row r="12" spans="1:10" ht="18">
      <c r="B12" s="206"/>
      <c r="C12" s="206"/>
      <c r="D12" s="206"/>
      <c r="E12" s="206"/>
      <c r="F12" s="206"/>
      <c r="G12" s="206"/>
      <c r="H12" s="206"/>
      <c r="I12" s="206"/>
      <c r="J12" s="206"/>
    </row>
    <row r="13" spans="1:10" ht="18">
      <c r="B13" s="203" t="s">
        <v>102</v>
      </c>
      <c r="C13" s="207">
        <v>2022</v>
      </c>
      <c r="D13" s="207">
        <v>2023</v>
      </c>
      <c r="E13" s="207">
        <v>2024</v>
      </c>
      <c r="F13" s="207">
        <v>2025</v>
      </c>
      <c r="G13" s="207">
        <v>2026</v>
      </c>
      <c r="H13" s="207">
        <v>2027</v>
      </c>
      <c r="I13" s="207">
        <v>2028</v>
      </c>
      <c r="J13" s="207">
        <v>2029</v>
      </c>
    </row>
    <row r="14" spans="1:10" ht="18">
      <c r="B14" s="204" t="s">
        <v>22</v>
      </c>
      <c r="C14" s="208">
        <f>C5/C8</f>
        <v>0.73198969054175678</v>
      </c>
      <c r="D14" s="208">
        <f t="shared" ref="D14:J14" si="1">D5/D8</f>
        <v>0.67449048921025501</v>
      </c>
      <c r="E14" s="208">
        <f t="shared" si="1"/>
        <v>0.6392602073598147</v>
      </c>
      <c r="F14" s="208">
        <f t="shared" si="1"/>
        <v>0.62027459460494194</v>
      </c>
      <c r="G14" s="208">
        <f t="shared" si="1"/>
        <v>0.58861158221389154</v>
      </c>
      <c r="H14" s="208">
        <f t="shared" si="1"/>
        <v>0.5929991359125969</v>
      </c>
      <c r="I14" s="208">
        <f t="shared" si="1"/>
        <v>0.58379543311121018</v>
      </c>
      <c r="J14" s="208">
        <f t="shared" si="1"/>
        <v>0.56871966945263575</v>
      </c>
    </row>
    <row r="15" spans="1:10" ht="18">
      <c r="B15" s="204" t="s">
        <v>101</v>
      </c>
      <c r="C15" s="208">
        <f>C6/C8</f>
        <v>0.16517815226633462</v>
      </c>
      <c r="D15" s="208">
        <f t="shared" ref="D15:J15" si="2">D6/D8</f>
        <v>0.22620778548227818</v>
      </c>
      <c r="E15" s="208">
        <f t="shared" si="2"/>
        <v>0.25980618075208961</v>
      </c>
      <c r="F15" s="208">
        <f t="shared" si="2"/>
        <v>0.28308337909804765</v>
      </c>
      <c r="G15" s="208">
        <f t="shared" si="2"/>
        <v>0.2889373519274413</v>
      </c>
      <c r="H15" s="208">
        <f t="shared" si="2"/>
        <v>0.31352159635321275</v>
      </c>
      <c r="I15" s="208">
        <f t="shared" si="2"/>
        <v>0.32809149817406608</v>
      </c>
      <c r="J15" s="208">
        <f t="shared" si="2"/>
        <v>0.34254706989526817</v>
      </c>
    </row>
    <row r="16" spans="1:10" ht="18">
      <c r="B16" s="204" t="s">
        <v>25</v>
      </c>
      <c r="C16" s="208">
        <f>C7/C8</f>
        <v>0.10283215719190857</v>
      </c>
      <c r="D16" s="208">
        <f t="shared" ref="D16:J16" si="3">D7/D8</f>
        <v>9.9301725307466837E-2</v>
      </c>
      <c r="E16" s="208">
        <f t="shared" si="3"/>
        <v>0.10093361188809562</v>
      </c>
      <c r="F16" s="208">
        <f t="shared" si="3"/>
        <v>9.6642026297010464E-2</v>
      </c>
      <c r="G16" s="208">
        <f t="shared" si="3"/>
        <v>0.12245106585866722</v>
      </c>
      <c r="H16" s="208">
        <f t="shared" si="3"/>
        <v>9.3479267734190338E-2</v>
      </c>
      <c r="I16" s="208">
        <f t="shared" si="3"/>
        <v>8.8113068714723811E-2</v>
      </c>
      <c r="J16" s="208">
        <f t="shared" si="3"/>
        <v>8.8733260652096052E-2</v>
      </c>
    </row>
    <row r="17" spans="2:10" ht="18">
      <c r="B17" s="204" t="s">
        <v>54</v>
      </c>
      <c r="C17" s="208">
        <f>C9/C8</f>
        <v>9.2525363840868929E-2</v>
      </c>
      <c r="D17" s="208">
        <f t="shared" ref="D17:J17" si="4">D9/D8</f>
        <v>1.6790957948506398E-3</v>
      </c>
      <c r="E17" s="208">
        <f t="shared" si="4"/>
        <v>7.3564092846601897E-2</v>
      </c>
      <c r="F17" s="208">
        <f t="shared" si="4"/>
        <v>6.9906783488447158E-2</v>
      </c>
      <c r="G17" s="208">
        <f t="shared" si="4"/>
        <v>4.73674270502627E-2</v>
      </c>
      <c r="H17" s="208">
        <f t="shared" si="4"/>
        <v>4.2322167315190923E-2</v>
      </c>
      <c r="I17" s="208">
        <f t="shared" si="4"/>
        <v>3.816047725832554E-2</v>
      </c>
      <c r="J17" s="208">
        <f t="shared" si="4"/>
        <v>3.3115342088474449E-2</v>
      </c>
    </row>
    <row r="18" spans="2:10" ht="18">
      <c r="B18" s="204" t="s">
        <v>105</v>
      </c>
      <c r="C18" s="208">
        <f>C10/C8</f>
        <v>7.8884019699787047E-2</v>
      </c>
      <c r="D18" s="208">
        <f t="shared" ref="D18:J18" si="5">D10/D8</f>
        <v>-1.2358145050100709E-2</v>
      </c>
      <c r="E18" s="208">
        <f t="shared" si="5"/>
        <v>6.0219750229356203E-2</v>
      </c>
      <c r="F18" s="208">
        <f t="shared" si="5"/>
        <v>5.6562440871201471E-2</v>
      </c>
      <c r="G18" s="208">
        <f t="shared" si="5"/>
        <v>3.4023084433017006E-2</v>
      </c>
      <c r="H18" s="208">
        <f t="shared" si="5"/>
        <v>2.8977824697945225E-2</v>
      </c>
      <c r="I18" s="208">
        <f t="shared" si="5"/>
        <v>2.4816134641079846E-2</v>
      </c>
      <c r="J18" s="208">
        <f t="shared" si="5"/>
        <v>1.9770999471228755E-2</v>
      </c>
    </row>
    <row r="19" spans="2:10" ht="18">
      <c r="B19" s="204" t="s">
        <v>49</v>
      </c>
      <c r="C19" s="208">
        <f>C11/C8</f>
        <v>3.7185293658652821E-2</v>
      </c>
      <c r="D19" s="208">
        <f t="shared" ref="D19:J19" si="6">D11/D8</f>
        <v>-1.7630505845931718E-2</v>
      </c>
      <c r="E19" s="208">
        <f t="shared" si="6"/>
        <v>2.8867353416898847E-2</v>
      </c>
      <c r="F19" s="208">
        <f t="shared" si="6"/>
        <v>2.622573123704796E-2</v>
      </c>
      <c r="G19" s="208">
        <f t="shared" si="6"/>
        <v>3.6661704403140797E-3</v>
      </c>
      <c r="H19" s="208">
        <f t="shared" si="6"/>
        <v>-3.3161292758677719E-3</v>
      </c>
      <c r="I19" s="208">
        <f t="shared" si="6"/>
        <v>-8.3159349674423629E-3</v>
      </c>
      <c r="J19" s="208">
        <f t="shared" si="6"/>
        <v>-1.4142583361273726E-2</v>
      </c>
    </row>
    <row r="20" spans="2:10" ht="18">
      <c r="B20" s="206"/>
      <c r="C20" s="206"/>
      <c r="D20" s="206"/>
      <c r="E20" s="206"/>
      <c r="F20" s="206"/>
      <c r="G20" s="206"/>
      <c r="H20" s="206"/>
      <c r="I20" s="206"/>
      <c r="J20" s="206"/>
    </row>
    <row r="21" spans="2:10" ht="18">
      <c r="B21" s="203" t="s">
        <v>128</v>
      </c>
      <c r="C21" s="203">
        <v>2022</v>
      </c>
      <c r="D21" s="203">
        <v>2023</v>
      </c>
      <c r="E21" s="203">
        <v>2024</v>
      </c>
      <c r="F21" s="203">
        <v>2025</v>
      </c>
      <c r="G21" s="203">
        <v>2026</v>
      </c>
      <c r="H21" s="203">
        <v>2027</v>
      </c>
      <c r="I21" s="203">
        <v>2028</v>
      </c>
      <c r="J21" s="203">
        <v>2029</v>
      </c>
    </row>
    <row r="22" spans="2:10" ht="18">
      <c r="B22" s="209" t="str">
        <f t="shared" ref="B22:C24" si="7">B14</f>
        <v>TV Media</v>
      </c>
      <c r="C22" s="210">
        <f t="shared" si="7"/>
        <v>0.73198969054175678</v>
      </c>
      <c r="D22" s="210">
        <f t="shared" ref="D22:J22" si="8">D14</f>
        <v>0.67449048921025501</v>
      </c>
      <c r="E22" s="210">
        <f t="shared" si="8"/>
        <v>0.6392602073598147</v>
      </c>
      <c r="F22" s="210">
        <f t="shared" si="8"/>
        <v>0.62027459460494194</v>
      </c>
      <c r="G22" s="210">
        <f t="shared" si="8"/>
        <v>0.58861158221389154</v>
      </c>
      <c r="H22" s="210">
        <f t="shared" si="8"/>
        <v>0.5929991359125969</v>
      </c>
      <c r="I22" s="210">
        <f t="shared" si="8"/>
        <v>0.58379543311121018</v>
      </c>
      <c r="J22" s="210">
        <f t="shared" si="8"/>
        <v>0.56871966945263575</v>
      </c>
    </row>
    <row r="23" spans="2:10" ht="18">
      <c r="B23" s="209" t="str">
        <f t="shared" si="7"/>
        <v>Direct to Consumer</v>
      </c>
      <c r="C23" s="210">
        <f t="shared" si="7"/>
        <v>0.16517815226633462</v>
      </c>
      <c r="D23" s="210">
        <f t="shared" ref="D23:J23" si="9">D15</f>
        <v>0.22620778548227818</v>
      </c>
      <c r="E23" s="210">
        <f t="shared" si="9"/>
        <v>0.25980618075208961</v>
      </c>
      <c r="F23" s="210">
        <f t="shared" si="9"/>
        <v>0.28308337909804765</v>
      </c>
      <c r="G23" s="210">
        <f t="shared" si="9"/>
        <v>0.2889373519274413</v>
      </c>
      <c r="H23" s="210">
        <f t="shared" si="9"/>
        <v>0.31352159635321275</v>
      </c>
      <c r="I23" s="210">
        <f t="shared" si="9"/>
        <v>0.32809149817406608</v>
      </c>
      <c r="J23" s="210">
        <f t="shared" si="9"/>
        <v>0.34254706989526817</v>
      </c>
    </row>
    <row r="24" spans="2:10" ht="18">
      <c r="B24" s="209" t="str">
        <f t="shared" si="7"/>
        <v>Filmed Entertainment</v>
      </c>
      <c r="C24" s="210">
        <f t="shared" si="7"/>
        <v>0.10283215719190857</v>
      </c>
      <c r="D24" s="210">
        <f t="shared" ref="D24:J24" si="10">D16</f>
        <v>9.9301725307466837E-2</v>
      </c>
      <c r="E24" s="210">
        <f t="shared" si="10"/>
        <v>0.10093361188809562</v>
      </c>
      <c r="F24" s="210">
        <f t="shared" si="10"/>
        <v>9.6642026297010464E-2</v>
      </c>
      <c r="G24" s="210">
        <f t="shared" si="10"/>
        <v>0.12245106585866722</v>
      </c>
      <c r="H24" s="210">
        <f t="shared" si="10"/>
        <v>9.3479267734190338E-2</v>
      </c>
      <c r="I24" s="210">
        <f t="shared" si="10"/>
        <v>8.8113068714723811E-2</v>
      </c>
      <c r="J24" s="210">
        <f t="shared" si="10"/>
        <v>8.8733260652096052E-2</v>
      </c>
    </row>
    <row r="25" spans="2:10" ht="18">
      <c r="B25" s="206"/>
      <c r="C25" s="206"/>
      <c r="D25" s="206"/>
      <c r="E25" s="206"/>
      <c r="F25" s="206"/>
      <c r="G25" s="206"/>
      <c r="H25" s="206"/>
      <c r="I25" s="206"/>
      <c r="J25" s="206"/>
    </row>
    <row r="26" spans="2:10" ht="18">
      <c r="B26" s="203" t="s">
        <v>127</v>
      </c>
      <c r="C26" s="203">
        <v>2022</v>
      </c>
      <c r="D26" s="203">
        <v>2023</v>
      </c>
      <c r="E26" s="203">
        <v>2024</v>
      </c>
      <c r="F26" s="203">
        <v>2025</v>
      </c>
      <c r="G26" s="203">
        <v>2026</v>
      </c>
      <c r="H26" s="203">
        <v>2027</v>
      </c>
      <c r="I26" s="203">
        <v>2028</v>
      </c>
      <c r="J26" s="203">
        <v>2029</v>
      </c>
    </row>
    <row r="27" spans="2:10" ht="18">
      <c r="B27" s="209" t="str" cm="1">
        <f t="array" ref="B27:B29">B17:B19</f>
        <v>EBITDA Margin</v>
      </c>
      <c r="C27" s="210">
        <f>C17</f>
        <v>9.2525363840868929E-2</v>
      </c>
      <c r="D27" s="210">
        <f>D17</f>
        <v>1.6790957948506398E-3</v>
      </c>
      <c r="E27" s="210">
        <f t="shared" ref="E27:J27" si="11">E17</f>
        <v>7.3564092846601897E-2</v>
      </c>
      <c r="F27" s="210">
        <f t="shared" si="11"/>
        <v>6.9906783488447158E-2</v>
      </c>
      <c r="G27" s="210">
        <f t="shared" si="11"/>
        <v>4.73674270502627E-2</v>
      </c>
      <c r="H27" s="210">
        <f t="shared" si="11"/>
        <v>4.2322167315190923E-2</v>
      </c>
      <c r="I27" s="210">
        <f t="shared" si="11"/>
        <v>3.816047725832554E-2</v>
      </c>
      <c r="J27" s="210">
        <f t="shared" si="11"/>
        <v>3.3115342088474449E-2</v>
      </c>
    </row>
    <row r="28" spans="2:10" ht="18">
      <c r="B28" s="209" t="str">
        <v>EBIT Margin</v>
      </c>
      <c r="C28" s="210">
        <f t="shared" ref="C28:J29" si="12">C18</f>
        <v>7.8884019699787047E-2</v>
      </c>
      <c r="D28" s="210">
        <f t="shared" si="12"/>
        <v>-1.2358145050100709E-2</v>
      </c>
      <c r="E28" s="210">
        <f t="shared" si="12"/>
        <v>6.0219750229356203E-2</v>
      </c>
      <c r="F28" s="210">
        <f t="shared" si="12"/>
        <v>5.6562440871201471E-2</v>
      </c>
      <c r="G28" s="210">
        <f t="shared" si="12"/>
        <v>3.4023084433017006E-2</v>
      </c>
      <c r="H28" s="210">
        <f t="shared" si="12"/>
        <v>2.8977824697945225E-2</v>
      </c>
      <c r="I28" s="210">
        <f t="shared" si="12"/>
        <v>2.4816134641079846E-2</v>
      </c>
      <c r="J28" s="210">
        <f t="shared" si="12"/>
        <v>1.9770999471228755E-2</v>
      </c>
    </row>
    <row r="29" spans="2:10" ht="18">
      <c r="B29" s="209" t="str">
        <v>Net Income</v>
      </c>
      <c r="C29" s="210">
        <f t="shared" si="12"/>
        <v>3.7185293658652821E-2</v>
      </c>
      <c r="D29" s="210">
        <f t="shared" si="12"/>
        <v>-1.7630505845931718E-2</v>
      </c>
      <c r="E29" s="210">
        <f t="shared" si="12"/>
        <v>2.8867353416898847E-2</v>
      </c>
      <c r="F29" s="210">
        <f t="shared" si="12"/>
        <v>2.622573123704796E-2</v>
      </c>
      <c r="G29" s="210">
        <f t="shared" si="12"/>
        <v>3.6661704403140797E-3</v>
      </c>
      <c r="H29" s="210">
        <f t="shared" si="12"/>
        <v>-3.3161292758677719E-3</v>
      </c>
      <c r="I29" s="210">
        <f t="shared" si="12"/>
        <v>-8.3159349674423629E-3</v>
      </c>
      <c r="J29" s="210">
        <f t="shared" si="12"/>
        <v>-1.4142583361273726E-2</v>
      </c>
    </row>
    <row r="30" spans="2:10" ht="18">
      <c r="B30" s="206"/>
      <c r="C30" s="206"/>
      <c r="D30" s="206"/>
      <c r="E30" s="206"/>
      <c r="F30" s="206"/>
      <c r="G30" s="206"/>
      <c r="H30" s="206"/>
      <c r="I30" s="206"/>
      <c r="J30" s="206"/>
    </row>
    <row r="31" spans="2:10" ht="18">
      <c r="B31" s="206"/>
      <c r="C31" s="206"/>
      <c r="D31" s="206"/>
      <c r="E31" s="206"/>
      <c r="F31" s="206"/>
      <c r="G31" s="206"/>
      <c r="H31" s="206"/>
      <c r="I31" s="206"/>
      <c r="J31" s="206"/>
    </row>
    <row r="32" spans="2:10" ht="18">
      <c r="B32" s="203" t="s">
        <v>129</v>
      </c>
      <c r="C32" s="203">
        <v>2024</v>
      </c>
      <c r="D32" s="203">
        <v>2025</v>
      </c>
      <c r="E32" s="203">
        <v>2026</v>
      </c>
      <c r="F32" s="203">
        <v>2027</v>
      </c>
      <c r="G32" s="203">
        <v>2028</v>
      </c>
      <c r="H32" s="203">
        <v>2029</v>
      </c>
      <c r="I32" s="206"/>
      <c r="J32" s="206"/>
    </row>
    <row r="33" spans="2:10" ht="18">
      <c r="B33" s="204" t="str" cm="1">
        <f t="array" ref="B33:B38">'PSKY IS'!A38:A43</f>
        <v>EBIT/Interest</v>
      </c>
      <c r="C33" s="211">
        <f>'PSKY IS'!D38</f>
        <v>2.0569767441860467</v>
      </c>
      <c r="D33" s="211">
        <f>'PSKY IS'!E38</f>
        <v>1.8782433087865216</v>
      </c>
      <c r="E33" s="211">
        <f>'PSKY IS'!F38</f>
        <v>1.1290371839271984</v>
      </c>
      <c r="F33" s="211">
        <f>'PSKY IS'!G38</f>
        <v>0.90393404044023851</v>
      </c>
      <c r="G33" s="211">
        <f>'PSKY IS'!H38</f>
        <v>0.75453215827883224</v>
      </c>
      <c r="H33" s="211">
        <f>'PSKY IS'!I38</f>
        <v>0.58728259950627026</v>
      </c>
      <c r="I33" s="206"/>
      <c r="J33" s="206"/>
    </row>
    <row r="34" spans="2:10" ht="18">
      <c r="B34" s="204" t="str">
        <v>EBITDA/Interest</v>
      </c>
      <c r="C34" s="211">
        <f>'PSKY IS'!D39</f>
        <v>2.5127906976744185</v>
      </c>
      <c r="D34" s="211">
        <f>'PSKY IS'!E39</f>
        <v>2.3213628390781809</v>
      </c>
      <c r="E34" s="211">
        <f>'PSKY IS'!F39</f>
        <v>1.5718617914255719</v>
      </c>
      <c r="F34" s="211">
        <f>'PSKY IS'!G39</f>
        <v>1.3201973612643547</v>
      </c>
      <c r="G34" s="211">
        <f>'PSKY IS'!H39</f>
        <v>1.1602655966820528</v>
      </c>
      <c r="H34" s="211">
        <f>'PSKY IS'!I39</f>
        <v>0.98366621341323579</v>
      </c>
      <c r="I34" s="206"/>
      <c r="J34" s="206"/>
    </row>
    <row r="35" spans="2:10" ht="18">
      <c r="B35" s="204" t="str">
        <v>(EBITDA - CAPEX)/Interest</v>
      </c>
      <c r="C35" s="211">
        <f>'PSKY IS'!D40</f>
        <v>2.2069767441860466</v>
      </c>
      <c r="D35" s="211">
        <f>'PSKY IS'!E40</f>
        <v>2.0557781839693647</v>
      </c>
      <c r="E35" s="211">
        <f>'PSKY IS'!F40</f>
        <v>1.306277136316756</v>
      </c>
      <c r="F35" s="211">
        <f>'PSKY IS'!G40</f>
        <v>1.0546127061555386</v>
      </c>
      <c r="G35" s="211">
        <f>'PSKY IS'!H40</f>
        <v>0.89468094157323674</v>
      </c>
      <c r="H35" s="211">
        <f>'PSKY IS'!I40</f>
        <v>0.71808155830441978</v>
      </c>
      <c r="I35" s="206"/>
      <c r="J35" s="206"/>
    </row>
    <row r="36" spans="2:10" ht="18">
      <c r="B36" s="204" t="str">
        <v>Gross Debt/EBITDAR</v>
      </c>
      <c r="C36" s="211">
        <f>'PSKY IS'!D41</f>
        <v>5.8209748897058819</v>
      </c>
      <c r="D36" s="211">
        <f>'PSKY IS'!E41</f>
        <v>6.6564353059916188</v>
      </c>
      <c r="E36" s="211">
        <f>'PSKY IS'!F41</f>
        <v>9.3429965214661781</v>
      </c>
      <c r="F36" s="211">
        <f>'PSKY IS'!G41</f>
        <v>10.769072514550087</v>
      </c>
      <c r="G36" s="211">
        <f>'PSKY IS'!H41</f>
        <v>11.380576494031251</v>
      </c>
      <c r="H36" s="211">
        <f>'PSKY IS'!I41</f>
        <v>13.126110203156557</v>
      </c>
      <c r="I36" s="206"/>
      <c r="J36" s="206"/>
    </row>
    <row r="37" spans="2:10" ht="18">
      <c r="B37" s="204" t="str">
        <v>NET Debt/EBITDAR</v>
      </c>
      <c r="C37" s="211">
        <f>'PSKY IS'!D42</f>
        <v>6.8136219485294118</v>
      </c>
      <c r="D37" s="211">
        <f>'PSKY IS'!E42</f>
        <v>7.7672089709594125</v>
      </c>
      <c r="E37" s="211">
        <f>'PSKY IS'!F42</f>
        <v>10.944952944074398</v>
      </c>
      <c r="F37" s="211">
        <f>'PSKY IS'!G42</f>
        <v>12.686661161252731</v>
      </c>
      <c r="G37" s="211">
        <f>'PSKY IS'!H42</f>
        <v>13.550134099606071</v>
      </c>
      <c r="H37" s="211">
        <f>'PSKY IS'!I42</f>
        <v>15.720003450923651</v>
      </c>
      <c r="I37" s="206"/>
      <c r="J37" s="206"/>
    </row>
    <row r="38" spans="2:10" ht="18">
      <c r="B38" s="204" t="str">
        <v>FCF/ Debt</v>
      </c>
      <c r="C38" s="217">
        <f>'PSKY IS'!D43</f>
        <v>1.1839994333475042E-2</v>
      </c>
      <c r="D38" s="217">
        <f>'PSKY IS'!E43</f>
        <v>6.2268303723438711E-3</v>
      </c>
      <c r="E38" s="217">
        <f>'PSKY IS'!F43</f>
        <v>-2.9129323361652682E-2</v>
      </c>
      <c r="F38" s="217">
        <f>'PSKY IS'!G43</f>
        <v>-4.1122765756803938E-2</v>
      </c>
      <c r="G38" s="217">
        <f>'PSKY IS'!H43</f>
        <v>-4.9066035618866369E-2</v>
      </c>
      <c r="H38" s="217">
        <f>'PSKY IS'!I43</f>
        <v>-5.87384363864661E-2</v>
      </c>
      <c r="I38" s="206"/>
      <c r="J38" s="206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Revenue Driver</vt:lpstr>
      <vt:lpstr>PSKY IS</vt:lpstr>
      <vt:lpstr>PSKY Bond</vt:lpstr>
      <vt:lpstr>Graphs &amp; Tables</vt:lpstr>
      <vt:lpstr>'PSKY Bond'!Print_Area</vt:lpstr>
      <vt:lpstr>'PSKY IS'!Print_Area</vt:lpstr>
      <vt:lpstr>'Revenue Driver'!Print_Area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Fidelity Investments</dc:creator>
  <cp:lastModifiedBy>OWEN PURNOMO</cp:lastModifiedBy>
  <cp:lastPrinted>2007-10-22T14:51:34Z</cp:lastPrinted>
  <dcterms:created xsi:type="dcterms:W3CDTF">2005-06-23T13:16:59Z</dcterms:created>
  <dcterms:modified xsi:type="dcterms:W3CDTF">2026-04-18T19:19:30Z</dcterms:modified>
</cp:coreProperties>
</file>