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owenpurnomo/Desktop/Credit Analysis/MGM/"/>
    </mc:Choice>
  </mc:AlternateContent>
  <xr:revisionPtr revIDLastSave="0" documentId="13_ncr:1_{FF1F1C67-7CDE-8947-AA19-6C99127AFEA9}" xr6:coauthVersionLast="47" xr6:coauthVersionMax="47" xr10:uidLastSave="{00000000-0000-0000-0000-000000000000}"/>
  <bookViews>
    <workbookView xWindow="0" yWindow="740" windowWidth="29400" windowHeight="17340" tabRatio="602" activeTab="5" xr2:uid="{00000000-000D-0000-FFFF-FFFF00000000}"/>
  </bookViews>
  <sheets>
    <sheet name="0000000" sheetId="1" state="veryHidden" r:id="rId1"/>
    <sheet name="Base Revenue Driver" sheetId="4" r:id="rId2"/>
    <sheet name="Base MGM IS" sheetId="2" r:id="rId3"/>
    <sheet name="Downside Revenue Driver" sheetId="8" r:id="rId4"/>
    <sheet name="Downside MGM IS" sheetId="9" r:id="rId5"/>
    <sheet name="MGM Bond" sheetId="6" r:id="rId6"/>
    <sheet name="Graphs &amp; Tables" sheetId="7" r:id="rId7"/>
  </sheets>
  <definedNames>
    <definedName name="_xlnm.Print_Area" localSheetId="2">'Base MGM IS'!$A$1:$A$27</definedName>
    <definedName name="_xlnm.Print_Area" localSheetId="1">'Base Revenue Driver'!$B$1:$B$84</definedName>
    <definedName name="_xlnm.Print_Area" localSheetId="4">'Downside MGM IS'!$A$1:$A$28</definedName>
    <definedName name="_xlnm.Print_Area" localSheetId="3">'Downside Revenue Driver'!$B$1:$B$84</definedName>
    <definedName name="_xlnm.Print_Area" localSheetId="5">'MGM Bond'!$A$1:$A$56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8" i="6" l="1"/>
  <c r="G12" i="6"/>
  <c r="H12" i="6"/>
  <c r="H18" i="9"/>
  <c r="H20" i="9"/>
  <c r="H23" i="9"/>
  <c r="H24" i="9"/>
  <c r="H27" i="9"/>
  <c r="H5" i="9"/>
  <c r="H6" i="9"/>
  <c r="H7" i="9"/>
  <c r="H9" i="9"/>
  <c r="G5" i="9"/>
  <c r="G6" i="9"/>
  <c r="G7" i="9"/>
  <c r="G9" i="9"/>
  <c r="H10" i="9"/>
  <c r="H29" i="9"/>
  <c r="H30" i="9"/>
  <c r="H31" i="9"/>
  <c r="I5" i="9"/>
  <c r="I6" i="9"/>
  <c r="I7" i="9"/>
  <c r="I9" i="9"/>
  <c r="I10" i="9"/>
  <c r="I29" i="9"/>
  <c r="H53" i="9"/>
  <c r="H32" i="9"/>
  <c r="H33" i="9"/>
  <c r="H34" i="9"/>
  <c r="H35" i="9"/>
  <c r="I8" i="9"/>
  <c r="J8" i="9"/>
  <c r="K8" i="9"/>
  <c r="L8" i="9"/>
  <c r="M8" i="9"/>
  <c r="J7" i="9"/>
  <c r="K7" i="9"/>
  <c r="L7" i="9"/>
  <c r="M7" i="9"/>
  <c r="J6" i="9"/>
  <c r="K6" i="9"/>
  <c r="L6" i="9"/>
  <c r="M6" i="9"/>
  <c r="J5" i="9"/>
  <c r="K5" i="9"/>
  <c r="L5" i="9"/>
  <c r="M5" i="9"/>
  <c r="H42" i="9"/>
  <c r="K192" i="8"/>
  <c r="J192" i="8"/>
  <c r="I192" i="8"/>
  <c r="M178" i="8"/>
  <c r="N178" i="8"/>
  <c r="K178" i="8"/>
  <c r="L178" i="8"/>
  <c r="J178" i="8"/>
  <c r="I178" i="8"/>
  <c r="K127" i="8"/>
  <c r="M127" i="8"/>
  <c r="N127" i="8"/>
  <c r="L127" i="8"/>
  <c r="J127" i="8"/>
  <c r="I127" i="8"/>
  <c r="K69" i="8"/>
  <c r="L69" i="8"/>
  <c r="M69" i="8"/>
  <c r="N69" i="8"/>
  <c r="I69" i="8"/>
  <c r="I75" i="8"/>
  <c r="I117" i="8"/>
  <c r="L72" i="8"/>
  <c r="M72" i="8"/>
  <c r="N72" i="8"/>
  <c r="K72" i="8"/>
  <c r="J49" i="8"/>
  <c r="I15" i="8"/>
  <c r="L8" i="8"/>
  <c r="M8" i="8"/>
  <c r="N8" i="8"/>
  <c r="K8" i="8"/>
  <c r="L7" i="8"/>
  <c r="M7" i="8"/>
  <c r="N7" i="8"/>
  <c r="K7" i="8"/>
  <c r="I10" i="8"/>
  <c r="I13" i="8"/>
  <c r="I16" i="8"/>
  <c r="I18" i="8"/>
  <c r="I20" i="8"/>
  <c r="I21" i="8"/>
  <c r="I24" i="8"/>
  <c r="I26" i="8"/>
  <c r="I25" i="8"/>
  <c r="I28" i="8"/>
  <c r="I59" i="8"/>
  <c r="I64" i="8"/>
  <c r="I49" i="8"/>
  <c r="I48" i="8"/>
  <c r="F51" i="8"/>
  <c r="G51" i="8"/>
  <c r="H51" i="8"/>
  <c r="I51" i="8"/>
  <c r="I50" i="8"/>
  <c r="I47" i="8"/>
  <c r="I54" i="8"/>
  <c r="I67" i="8"/>
  <c r="I78" i="8"/>
  <c r="I80" i="8"/>
  <c r="I81" i="8"/>
  <c r="I83" i="8"/>
  <c r="I85" i="8"/>
  <c r="I86" i="8"/>
  <c r="I89" i="8"/>
  <c r="I91" i="8"/>
  <c r="H81" i="8"/>
  <c r="H86" i="8"/>
  <c r="H89" i="8"/>
  <c r="H90" i="8"/>
  <c r="I90" i="8"/>
  <c r="I93" i="8"/>
  <c r="I112" i="8"/>
  <c r="I122" i="8"/>
  <c r="I125" i="8"/>
  <c r="I133" i="8"/>
  <c r="I136" i="8"/>
  <c r="I138" i="8"/>
  <c r="I139" i="8"/>
  <c r="I142" i="8"/>
  <c r="I144" i="8"/>
  <c r="H139" i="8"/>
  <c r="H142" i="8"/>
  <c r="H143" i="8"/>
  <c r="I143" i="8"/>
  <c r="I146" i="8"/>
  <c r="I163" i="8"/>
  <c r="I168" i="8"/>
  <c r="I173" i="8"/>
  <c r="I176" i="8"/>
  <c r="I185" i="8"/>
  <c r="I187" i="8"/>
  <c r="J182" i="8"/>
  <c r="J183" i="8"/>
  <c r="J184" i="8"/>
  <c r="J185" i="8"/>
  <c r="J187" i="8"/>
  <c r="J190" i="8"/>
  <c r="J193" i="8"/>
  <c r="I16" i="9"/>
  <c r="K182" i="8"/>
  <c r="K183" i="8"/>
  <c r="K184" i="8"/>
  <c r="K185" i="8"/>
  <c r="K187" i="8"/>
  <c r="K190" i="8"/>
  <c r="K193" i="8"/>
  <c r="J16" i="9"/>
  <c r="L182" i="8"/>
  <c r="L183" i="8"/>
  <c r="L184" i="8"/>
  <c r="L185" i="8"/>
  <c r="L187" i="8"/>
  <c r="L190" i="8"/>
  <c r="L193" i="8"/>
  <c r="K16" i="9"/>
  <c r="M182" i="8"/>
  <c r="M183" i="8"/>
  <c r="M184" i="8"/>
  <c r="M185" i="8"/>
  <c r="M187" i="8"/>
  <c r="M190" i="8"/>
  <c r="M193" i="8"/>
  <c r="L16" i="9"/>
  <c r="N182" i="8"/>
  <c r="N183" i="8"/>
  <c r="N184" i="8"/>
  <c r="N185" i="8"/>
  <c r="N187" i="8"/>
  <c r="N190" i="8"/>
  <c r="N193" i="8"/>
  <c r="M16" i="9"/>
  <c r="I190" i="8"/>
  <c r="I193" i="8"/>
  <c r="H16" i="9"/>
  <c r="I15" i="9"/>
  <c r="J15" i="9"/>
  <c r="K15" i="9"/>
  <c r="L15" i="9"/>
  <c r="M15" i="9"/>
  <c r="I179" i="8"/>
  <c r="H14" i="9"/>
  <c r="J80" i="8"/>
  <c r="J75" i="8"/>
  <c r="J78" i="8"/>
  <c r="J81" i="8"/>
  <c r="J83" i="8"/>
  <c r="J85" i="8"/>
  <c r="J86" i="8"/>
  <c r="J89" i="8"/>
  <c r="J91" i="8"/>
  <c r="J90" i="8"/>
  <c r="J93" i="8"/>
  <c r="J112" i="8"/>
  <c r="J117" i="8"/>
  <c r="J122" i="8"/>
  <c r="J125" i="8"/>
  <c r="J128" i="8"/>
  <c r="I13" i="9"/>
  <c r="K75" i="8"/>
  <c r="K78" i="8"/>
  <c r="K80" i="8"/>
  <c r="K81" i="8"/>
  <c r="K83" i="8"/>
  <c r="K85" i="8"/>
  <c r="K86" i="8"/>
  <c r="K89" i="8"/>
  <c r="K91" i="8"/>
  <c r="K90" i="8"/>
  <c r="K93" i="8"/>
  <c r="K112" i="8"/>
  <c r="K117" i="8"/>
  <c r="K122" i="8"/>
  <c r="K125" i="8"/>
  <c r="K128" i="8"/>
  <c r="J13" i="9"/>
  <c r="L75" i="8"/>
  <c r="L78" i="8"/>
  <c r="L80" i="8"/>
  <c r="L81" i="8"/>
  <c r="L83" i="8"/>
  <c r="L85" i="8"/>
  <c r="L86" i="8"/>
  <c r="L89" i="8"/>
  <c r="L91" i="8"/>
  <c r="L90" i="8"/>
  <c r="L93" i="8"/>
  <c r="L112" i="8"/>
  <c r="L117" i="8"/>
  <c r="L122" i="8"/>
  <c r="L125" i="8"/>
  <c r="L128" i="8"/>
  <c r="K13" i="9"/>
  <c r="M75" i="8"/>
  <c r="M78" i="8"/>
  <c r="M80" i="8"/>
  <c r="M81" i="8"/>
  <c r="M83" i="8"/>
  <c r="M85" i="8"/>
  <c r="M86" i="8"/>
  <c r="M89" i="8"/>
  <c r="M91" i="8"/>
  <c r="M90" i="8"/>
  <c r="M93" i="8"/>
  <c r="M112" i="8"/>
  <c r="M117" i="8"/>
  <c r="M122" i="8"/>
  <c r="M125" i="8"/>
  <c r="M128" i="8"/>
  <c r="L13" i="9"/>
  <c r="N75" i="8"/>
  <c r="N78" i="8"/>
  <c r="N80" i="8"/>
  <c r="N81" i="8"/>
  <c r="N83" i="8"/>
  <c r="N85" i="8"/>
  <c r="N86" i="8"/>
  <c r="N89" i="8"/>
  <c r="N91" i="8"/>
  <c r="N90" i="8"/>
  <c r="N93" i="8"/>
  <c r="N112" i="8"/>
  <c r="N117" i="8"/>
  <c r="N122" i="8"/>
  <c r="N125" i="8"/>
  <c r="N128" i="8"/>
  <c r="M13" i="9"/>
  <c r="I128" i="8"/>
  <c r="H13" i="9"/>
  <c r="I14" i="9"/>
  <c r="J14" i="9"/>
  <c r="K14" i="9"/>
  <c r="L14" i="9"/>
  <c r="M14" i="9"/>
  <c r="J10" i="8"/>
  <c r="J13" i="8"/>
  <c r="J15" i="8"/>
  <c r="J16" i="8"/>
  <c r="J18" i="8"/>
  <c r="J20" i="8"/>
  <c r="J21" i="8"/>
  <c r="J24" i="8"/>
  <c r="J26" i="8"/>
  <c r="J25" i="8"/>
  <c r="J28" i="8"/>
  <c r="J59" i="8"/>
  <c r="J64" i="8"/>
  <c r="J45" i="8"/>
  <c r="J48" i="8"/>
  <c r="J51" i="8"/>
  <c r="J50" i="8"/>
  <c r="J47" i="8"/>
  <c r="J54" i="8"/>
  <c r="J67" i="8"/>
  <c r="J70" i="8"/>
  <c r="I12" i="9"/>
  <c r="K10" i="8"/>
  <c r="K13" i="8"/>
  <c r="K15" i="8"/>
  <c r="K16" i="8"/>
  <c r="K18" i="8"/>
  <c r="K20" i="8"/>
  <c r="K21" i="8"/>
  <c r="K24" i="8"/>
  <c r="K26" i="8"/>
  <c r="K25" i="8"/>
  <c r="K28" i="8"/>
  <c r="K59" i="8"/>
  <c r="K64" i="8"/>
  <c r="K45" i="8"/>
  <c r="K49" i="8"/>
  <c r="K48" i="8"/>
  <c r="K51" i="8"/>
  <c r="K50" i="8"/>
  <c r="K47" i="8"/>
  <c r="K54" i="8"/>
  <c r="K67" i="8"/>
  <c r="K70" i="8"/>
  <c r="J12" i="9"/>
  <c r="L10" i="8"/>
  <c r="L13" i="8"/>
  <c r="L15" i="8"/>
  <c r="L16" i="8"/>
  <c r="L18" i="8"/>
  <c r="L20" i="8"/>
  <c r="L21" i="8"/>
  <c r="L24" i="8"/>
  <c r="L26" i="8"/>
  <c r="L25" i="8"/>
  <c r="L28" i="8"/>
  <c r="L59" i="8"/>
  <c r="L64" i="8"/>
  <c r="L45" i="8"/>
  <c r="L49" i="8"/>
  <c r="L48" i="8"/>
  <c r="L51" i="8"/>
  <c r="L50" i="8"/>
  <c r="L47" i="8"/>
  <c r="L54" i="8"/>
  <c r="L67" i="8"/>
  <c r="L70" i="8"/>
  <c r="K12" i="9"/>
  <c r="M10" i="8"/>
  <c r="M13" i="8"/>
  <c r="M15" i="8"/>
  <c r="M16" i="8"/>
  <c r="M18" i="8"/>
  <c r="M20" i="8"/>
  <c r="M21" i="8"/>
  <c r="M24" i="8"/>
  <c r="M26" i="8"/>
  <c r="M25" i="8"/>
  <c r="M28" i="8"/>
  <c r="M59" i="8"/>
  <c r="M64" i="8"/>
  <c r="M45" i="8"/>
  <c r="M49" i="8"/>
  <c r="M48" i="8"/>
  <c r="M51" i="8"/>
  <c r="M50" i="8"/>
  <c r="M47" i="8"/>
  <c r="M54" i="8"/>
  <c r="M67" i="8"/>
  <c r="M70" i="8"/>
  <c r="L12" i="9"/>
  <c r="N10" i="8"/>
  <c r="N13" i="8"/>
  <c r="N15" i="8"/>
  <c r="N16" i="8"/>
  <c r="N18" i="8"/>
  <c r="N20" i="8"/>
  <c r="N21" i="8"/>
  <c r="N24" i="8"/>
  <c r="N26" i="8"/>
  <c r="N25" i="8"/>
  <c r="N28" i="8"/>
  <c r="N59" i="8"/>
  <c r="N64" i="8"/>
  <c r="N45" i="8"/>
  <c r="N49" i="8"/>
  <c r="N48" i="8"/>
  <c r="N51" i="8"/>
  <c r="N50" i="8"/>
  <c r="N47" i="8"/>
  <c r="N54" i="8"/>
  <c r="N67" i="8"/>
  <c r="N70" i="8"/>
  <c r="M12" i="9"/>
  <c r="I70" i="8"/>
  <c r="H12" i="9"/>
  <c r="H8" i="9"/>
  <c r="J138" i="8"/>
  <c r="J133" i="8"/>
  <c r="J136" i="8"/>
  <c r="J139" i="8"/>
  <c r="J142" i="8"/>
  <c r="J144" i="8"/>
  <c r="J143" i="8"/>
  <c r="J146" i="8"/>
  <c r="J163" i="8"/>
  <c r="J168" i="8"/>
  <c r="J173" i="8"/>
  <c r="J176" i="8"/>
  <c r="K131" i="8"/>
  <c r="K130" i="8"/>
  <c r="K133" i="8"/>
  <c r="K136" i="8"/>
  <c r="K138" i="8"/>
  <c r="K139" i="8"/>
  <c r="K142" i="8"/>
  <c r="K144" i="8"/>
  <c r="K143" i="8"/>
  <c r="K146" i="8"/>
  <c r="K163" i="8"/>
  <c r="K168" i="8"/>
  <c r="K173" i="8"/>
  <c r="K176" i="8"/>
  <c r="L131" i="8"/>
  <c r="L130" i="8"/>
  <c r="L133" i="8"/>
  <c r="L136" i="8"/>
  <c r="L138" i="8"/>
  <c r="L139" i="8"/>
  <c r="L142" i="8"/>
  <c r="L144" i="8"/>
  <c r="L143" i="8"/>
  <c r="L146" i="8"/>
  <c r="L163" i="8"/>
  <c r="L168" i="8"/>
  <c r="L173" i="8"/>
  <c r="L176" i="8"/>
  <c r="M131" i="8"/>
  <c r="M130" i="8"/>
  <c r="M133" i="8"/>
  <c r="M136" i="8"/>
  <c r="M138" i="8"/>
  <c r="M139" i="8"/>
  <c r="M142" i="8"/>
  <c r="M144" i="8"/>
  <c r="M143" i="8"/>
  <c r="M146" i="8"/>
  <c r="M163" i="8"/>
  <c r="M168" i="8"/>
  <c r="M173" i="8"/>
  <c r="M176" i="8"/>
  <c r="N131" i="8"/>
  <c r="N130" i="8"/>
  <c r="N133" i="8"/>
  <c r="N136" i="8"/>
  <c r="N138" i="8"/>
  <c r="N139" i="8"/>
  <c r="N142" i="8"/>
  <c r="N144" i="8"/>
  <c r="N143" i="8"/>
  <c r="N146" i="8"/>
  <c r="N163" i="8"/>
  <c r="N168" i="8"/>
  <c r="N173" i="8"/>
  <c r="N176" i="8"/>
  <c r="B5" i="9"/>
  <c r="I51" i="9"/>
  <c r="J51" i="9"/>
  <c r="K51" i="9"/>
  <c r="L51" i="9"/>
  <c r="M51" i="9"/>
  <c r="M53" i="9"/>
  <c r="H55" i="9"/>
  <c r="I55" i="9"/>
  <c r="J55" i="9"/>
  <c r="K55" i="9"/>
  <c r="L55" i="9"/>
  <c r="M55" i="9"/>
  <c r="M59" i="9"/>
  <c r="L53" i="9"/>
  <c r="L59" i="9"/>
  <c r="K53" i="9"/>
  <c r="K59" i="9"/>
  <c r="J53" i="9"/>
  <c r="J59" i="9"/>
  <c r="I53" i="9"/>
  <c r="I59" i="9"/>
  <c r="H59" i="9"/>
  <c r="G53" i="9"/>
  <c r="G59" i="9"/>
  <c r="F53" i="9"/>
  <c r="F59" i="9"/>
  <c r="E53" i="9"/>
  <c r="E59" i="9"/>
  <c r="D53" i="9"/>
  <c r="D59" i="9"/>
  <c r="C53" i="9"/>
  <c r="C59" i="9"/>
  <c r="B53" i="9"/>
  <c r="B59" i="9"/>
  <c r="J9" i="9"/>
  <c r="J10" i="9"/>
  <c r="J29" i="9"/>
  <c r="K9" i="9"/>
  <c r="K10" i="9"/>
  <c r="K29" i="9"/>
  <c r="L9" i="9"/>
  <c r="L10" i="9"/>
  <c r="L29" i="9"/>
  <c r="M9" i="9"/>
  <c r="M10" i="9"/>
  <c r="M29" i="9"/>
  <c r="M18" i="9"/>
  <c r="M30" i="9"/>
  <c r="M32" i="9"/>
  <c r="M33" i="9"/>
  <c r="M20" i="9"/>
  <c r="M34" i="9"/>
  <c r="M35" i="9"/>
  <c r="M47" i="9"/>
  <c r="L18" i="9"/>
  <c r="L30" i="9"/>
  <c r="L32" i="9"/>
  <c r="L33" i="9"/>
  <c r="L20" i="9"/>
  <c r="L34" i="9"/>
  <c r="L35" i="9"/>
  <c r="L47" i="9"/>
  <c r="K18" i="9"/>
  <c r="K30" i="9"/>
  <c r="K32" i="9"/>
  <c r="K33" i="9"/>
  <c r="K20" i="9"/>
  <c r="K34" i="9"/>
  <c r="K35" i="9"/>
  <c r="K47" i="9"/>
  <c r="J18" i="9"/>
  <c r="J30" i="9"/>
  <c r="J32" i="9"/>
  <c r="J33" i="9"/>
  <c r="J20" i="9"/>
  <c r="J34" i="9"/>
  <c r="J35" i="9"/>
  <c r="J47" i="9"/>
  <c r="I18" i="9"/>
  <c r="I30" i="9"/>
  <c r="I32" i="9"/>
  <c r="I33" i="9"/>
  <c r="I20" i="9"/>
  <c r="I34" i="9"/>
  <c r="I35" i="9"/>
  <c r="I47" i="9"/>
  <c r="H47" i="9"/>
  <c r="G18" i="9"/>
  <c r="G30" i="9"/>
  <c r="G32" i="9"/>
  <c r="G33" i="9"/>
  <c r="G34" i="9"/>
  <c r="G35" i="9"/>
  <c r="G47" i="9"/>
  <c r="F18" i="9"/>
  <c r="F30" i="9"/>
  <c r="F32" i="9"/>
  <c r="F34" i="9"/>
  <c r="F35" i="9"/>
  <c r="F47" i="9"/>
  <c r="E18" i="9"/>
  <c r="E30" i="9"/>
  <c r="E32" i="9"/>
  <c r="E34" i="9"/>
  <c r="E35" i="9"/>
  <c r="E47" i="9"/>
  <c r="D18" i="9"/>
  <c r="D30" i="9"/>
  <c r="D32" i="9"/>
  <c r="D34" i="9"/>
  <c r="D35" i="9"/>
  <c r="D47" i="9"/>
  <c r="C18" i="9"/>
  <c r="C30" i="9"/>
  <c r="C32" i="9"/>
  <c r="C34" i="9"/>
  <c r="C35" i="9"/>
  <c r="C47" i="9"/>
  <c r="B18" i="9"/>
  <c r="B30" i="9"/>
  <c r="B32" i="9"/>
  <c r="B34" i="9"/>
  <c r="B35" i="9"/>
  <c r="B47" i="9"/>
  <c r="F5" i="9"/>
  <c r="F6" i="9"/>
  <c r="F7" i="9"/>
  <c r="F9" i="9"/>
  <c r="G10" i="9"/>
  <c r="G39" i="9"/>
  <c r="H39" i="9"/>
  <c r="I39" i="9"/>
  <c r="J39" i="9"/>
  <c r="K39" i="9"/>
  <c r="L39" i="9"/>
  <c r="M39" i="9"/>
  <c r="M46" i="9"/>
  <c r="L46" i="9"/>
  <c r="K46" i="9"/>
  <c r="J46" i="9"/>
  <c r="I46" i="9"/>
  <c r="H46" i="9"/>
  <c r="G46" i="9"/>
  <c r="F46" i="9"/>
  <c r="E46" i="9"/>
  <c r="D46" i="9"/>
  <c r="C46" i="9"/>
  <c r="B46" i="9"/>
  <c r="M45" i="9"/>
  <c r="L45" i="9"/>
  <c r="K45" i="9"/>
  <c r="J45" i="9"/>
  <c r="I45" i="9"/>
  <c r="H45" i="9"/>
  <c r="G45" i="9"/>
  <c r="F45" i="9"/>
  <c r="E45" i="9"/>
  <c r="D45" i="9"/>
  <c r="C45" i="9"/>
  <c r="B45" i="9"/>
  <c r="M44" i="9"/>
  <c r="L44" i="9"/>
  <c r="K44" i="9"/>
  <c r="J44" i="9"/>
  <c r="I44" i="9"/>
  <c r="H44" i="9"/>
  <c r="G44" i="9"/>
  <c r="F44" i="9"/>
  <c r="E44" i="9"/>
  <c r="D44" i="9"/>
  <c r="C44" i="9"/>
  <c r="B44" i="9"/>
  <c r="M43" i="9"/>
  <c r="L43" i="9"/>
  <c r="K43" i="9"/>
  <c r="J43" i="9"/>
  <c r="I43" i="9"/>
  <c r="H43" i="9"/>
  <c r="G43" i="9"/>
  <c r="F43" i="9"/>
  <c r="E43" i="9"/>
  <c r="D43" i="9"/>
  <c r="C43" i="9"/>
  <c r="B43" i="9"/>
  <c r="M42" i="9"/>
  <c r="L42" i="9"/>
  <c r="K42" i="9"/>
  <c r="J42" i="9"/>
  <c r="I42" i="9"/>
  <c r="G42" i="9"/>
  <c r="F42" i="9"/>
  <c r="E42" i="9"/>
  <c r="D42" i="9"/>
  <c r="C42" i="9"/>
  <c r="B42" i="9"/>
  <c r="M31" i="9"/>
  <c r="L31" i="9"/>
  <c r="K31" i="9"/>
  <c r="J31" i="9"/>
  <c r="I31" i="9"/>
  <c r="G31" i="9"/>
  <c r="F31" i="9"/>
  <c r="E5" i="9"/>
  <c r="E6" i="9"/>
  <c r="E7" i="9"/>
  <c r="E9" i="9"/>
  <c r="E31" i="9"/>
  <c r="D5" i="9"/>
  <c r="D6" i="9"/>
  <c r="D7" i="9"/>
  <c r="D9" i="9"/>
  <c r="D31" i="9"/>
  <c r="C5" i="9"/>
  <c r="C6" i="9"/>
  <c r="C7" i="9"/>
  <c r="C9" i="9"/>
  <c r="C31" i="9"/>
  <c r="B6" i="9"/>
  <c r="B7" i="9"/>
  <c r="B9" i="9"/>
  <c r="B31" i="9"/>
  <c r="M23" i="9"/>
  <c r="I24" i="9"/>
  <c r="J24" i="9"/>
  <c r="K24" i="9"/>
  <c r="L24" i="9"/>
  <c r="M24" i="9"/>
  <c r="M27" i="9"/>
  <c r="L23" i="9"/>
  <c r="L27" i="9"/>
  <c r="K23" i="9"/>
  <c r="K27" i="9"/>
  <c r="J23" i="9"/>
  <c r="J27" i="9"/>
  <c r="I23" i="9"/>
  <c r="I27" i="9"/>
  <c r="G23" i="9"/>
  <c r="G25" i="9"/>
  <c r="G27" i="9"/>
  <c r="F23" i="9"/>
  <c r="F27" i="9"/>
  <c r="E23" i="9"/>
  <c r="E27" i="9"/>
  <c r="D23" i="9"/>
  <c r="D27" i="9"/>
  <c r="C23" i="9"/>
  <c r="C27" i="9"/>
  <c r="B23" i="9"/>
  <c r="B27" i="9"/>
  <c r="M17" i="9"/>
  <c r="L17" i="9"/>
  <c r="K17" i="9"/>
  <c r="J17" i="9"/>
  <c r="I17" i="9"/>
  <c r="H15" i="9"/>
  <c r="H17" i="9"/>
  <c r="G12" i="9"/>
  <c r="G13" i="9"/>
  <c r="G14" i="9"/>
  <c r="G15" i="9"/>
  <c r="G16" i="9"/>
  <c r="G17" i="9"/>
  <c r="F12" i="9"/>
  <c r="F13" i="9"/>
  <c r="F14" i="9"/>
  <c r="F15" i="9"/>
  <c r="F16" i="9"/>
  <c r="F17" i="9"/>
  <c r="E12" i="9"/>
  <c r="E13" i="9"/>
  <c r="E14" i="9"/>
  <c r="E15" i="9"/>
  <c r="E16" i="9"/>
  <c r="E17" i="9"/>
  <c r="D12" i="9"/>
  <c r="D13" i="9"/>
  <c r="D14" i="9"/>
  <c r="D15" i="9"/>
  <c r="D16" i="9"/>
  <c r="D17" i="9"/>
  <c r="C12" i="9"/>
  <c r="C13" i="9"/>
  <c r="C14" i="9"/>
  <c r="C15" i="9"/>
  <c r="C16" i="9"/>
  <c r="C17" i="9"/>
  <c r="B12" i="9"/>
  <c r="B13" i="9"/>
  <c r="B14" i="9"/>
  <c r="B15" i="9"/>
  <c r="B16" i="9"/>
  <c r="B17" i="9"/>
  <c r="F10" i="9"/>
  <c r="E10" i="9"/>
  <c r="D10" i="9"/>
  <c r="C10" i="9"/>
  <c r="B10" i="9"/>
  <c r="G8" i="9"/>
  <c r="F8" i="9"/>
  <c r="E8" i="9"/>
  <c r="D8" i="9"/>
  <c r="C8" i="9"/>
  <c r="B8" i="9"/>
  <c r="F16" i="8"/>
  <c r="F21" i="8"/>
  <c r="F24" i="8"/>
  <c r="F28" i="8"/>
  <c r="F54" i="8"/>
  <c r="F67" i="8"/>
  <c r="F125" i="8"/>
  <c r="F176" i="8"/>
  <c r="F190" i="8"/>
  <c r="F198" i="8"/>
  <c r="F68" i="8"/>
  <c r="F70" i="8"/>
  <c r="F69" i="8"/>
  <c r="G16" i="8"/>
  <c r="G21" i="8"/>
  <c r="G24" i="8"/>
  <c r="G28" i="8"/>
  <c r="G54" i="8"/>
  <c r="G67" i="8"/>
  <c r="G125" i="8"/>
  <c r="G176" i="8"/>
  <c r="G190" i="8"/>
  <c r="G198" i="8"/>
  <c r="G68" i="8"/>
  <c r="G70" i="8"/>
  <c r="G69" i="8"/>
  <c r="H16" i="8"/>
  <c r="H21" i="8"/>
  <c r="H24" i="8"/>
  <c r="H28" i="8"/>
  <c r="H54" i="8"/>
  <c r="H67" i="8"/>
  <c r="H125" i="8"/>
  <c r="H176" i="8"/>
  <c r="H190" i="8"/>
  <c r="H198" i="8"/>
  <c r="H68" i="8"/>
  <c r="H70" i="8"/>
  <c r="H69" i="8"/>
  <c r="F126" i="8"/>
  <c r="F128" i="8"/>
  <c r="F127" i="8"/>
  <c r="G126" i="8"/>
  <c r="G128" i="8"/>
  <c r="G127" i="8"/>
  <c r="H126" i="8"/>
  <c r="H128" i="8"/>
  <c r="H127" i="8"/>
  <c r="F177" i="8"/>
  <c r="F179" i="8"/>
  <c r="F178" i="8"/>
  <c r="G177" i="8"/>
  <c r="G179" i="8"/>
  <c r="G178" i="8"/>
  <c r="H177" i="8"/>
  <c r="H179" i="8"/>
  <c r="H178" i="8"/>
  <c r="N179" i="8"/>
  <c r="I196" i="8"/>
  <c r="N196" i="8"/>
  <c r="N199" i="8"/>
  <c r="N200" i="8"/>
  <c r="N198" i="8"/>
  <c r="N202" i="8"/>
  <c r="M179" i="8"/>
  <c r="M196" i="8"/>
  <c r="M199" i="8"/>
  <c r="M200" i="8"/>
  <c r="M198" i="8"/>
  <c r="M202" i="8"/>
  <c r="L179" i="8"/>
  <c r="L196" i="8"/>
  <c r="L199" i="8"/>
  <c r="L200" i="8"/>
  <c r="L198" i="8"/>
  <c r="L202" i="8"/>
  <c r="K179" i="8"/>
  <c r="K196" i="8"/>
  <c r="K199" i="8"/>
  <c r="K200" i="8"/>
  <c r="K198" i="8"/>
  <c r="K202" i="8"/>
  <c r="J179" i="8"/>
  <c r="J196" i="8"/>
  <c r="J199" i="8"/>
  <c r="J200" i="8"/>
  <c r="J198" i="8"/>
  <c r="J202" i="8"/>
  <c r="I199" i="8"/>
  <c r="I200" i="8"/>
  <c r="I198" i="8"/>
  <c r="I202" i="8"/>
  <c r="H191" i="8"/>
  <c r="H193" i="8"/>
  <c r="H199" i="8"/>
  <c r="H200" i="8"/>
  <c r="H202" i="8"/>
  <c r="G191" i="8"/>
  <c r="G193" i="8"/>
  <c r="G199" i="8"/>
  <c r="G200" i="8"/>
  <c r="G202" i="8"/>
  <c r="F191" i="8"/>
  <c r="F193" i="8"/>
  <c r="F199" i="8"/>
  <c r="F200" i="8"/>
  <c r="F202" i="8"/>
  <c r="E16" i="8"/>
  <c r="E21" i="8"/>
  <c r="E24" i="8"/>
  <c r="E28" i="8"/>
  <c r="E54" i="8"/>
  <c r="E67" i="8"/>
  <c r="E125" i="8"/>
  <c r="E176" i="8"/>
  <c r="E198" i="8"/>
  <c r="E68" i="8"/>
  <c r="E70" i="8"/>
  <c r="E126" i="8"/>
  <c r="E128" i="8"/>
  <c r="E177" i="8"/>
  <c r="E179" i="8"/>
  <c r="E199" i="8"/>
  <c r="E200" i="8"/>
  <c r="E202" i="8"/>
  <c r="D16" i="8"/>
  <c r="D21" i="8"/>
  <c r="D24" i="8"/>
  <c r="D28" i="8"/>
  <c r="D54" i="8"/>
  <c r="D67" i="8"/>
  <c r="D125" i="8"/>
  <c r="D176" i="8"/>
  <c r="D198" i="8"/>
  <c r="D68" i="8"/>
  <c r="D70" i="8"/>
  <c r="D126" i="8"/>
  <c r="D128" i="8"/>
  <c r="D177" i="8"/>
  <c r="D179" i="8"/>
  <c r="D199" i="8"/>
  <c r="D200" i="8"/>
  <c r="D202" i="8"/>
  <c r="C16" i="8"/>
  <c r="C21" i="8"/>
  <c r="C24" i="8"/>
  <c r="C28" i="8"/>
  <c r="C54" i="8"/>
  <c r="C67" i="8"/>
  <c r="C125" i="8"/>
  <c r="C176" i="8"/>
  <c r="C198" i="8"/>
  <c r="C68" i="8"/>
  <c r="C70" i="8"/>
  <c r="C126" i="8"/>
  <c r="C128" i="8"/>
  <c r="C177" i="8"/>
  <c r="C179" i="8"/>
  <c r="C199" i="8"/>
  <c r="C200" i="8"/>
  <c r="C202" i="8"/>
  <c r="N201" i="8"/>
  <c r="M201" i="8"/>
  <c r="L201" i="8"/>
  <c r="K201" i="8"/>
  <c r="J201" i="8"/>
  <c r="I201" i="8"/>
  <c r="H201" i="8"/>
  <c r="G201" i="8"/>
  <c r="F201" i="8"/>
  <c r="E201" i="8"/>
  <c r="D201" i="8"/>
  <c r="C201" i="8"/>
  <c r="H192" i="8"/>
  <c r="G192" i="8"/>
  <c r="F192" i="8"/>
  <c r="N191" i="8"/>
  <c r="M191" i="8"/>
  <c r="L191" i="8"/>
  <c r="K191" i="8"/>
  <c r="J191" i="8"/>
  <c r="I191" i="8"/>
  <c r="E191" i="8"/>
  <c r="D191" i="8"/>
  <c r="C191" i="8"/>
  <c r="N188" i="8"/>
  <c r="M188" i="8"/>
  <c r="L188" i="8"/>
  <c r="K188" i="8"/>
  <c r="J188" i="8"/>
  <c r="I188" i="8"/>
  <c r="H188" i="8"/>
  <c r="G188" i="8"/>
  <c r="F188" i="8"/>
  <c r="H185" i="8"/>
  <c r="G185" i="8"/>
  <c r="F185" i="8"/>
  <c r="E178" i="8"/>
  <c r="D178" i="8"/>
  <c r="C178" i="8"/>
  <c r="N177" i="8"/>
  <c r="M177" i="8"/>
  <c r="L177" i="8"/>
  <c r="K177" i="8"/>
  <c r="J177" i="8"/>
  <c r="I177" i="8"/>
  <c r="N149" i="8"/>
  <c r="N154" i="8"/>
  <c r="N155" i="8"/>
  <c r="N172" i="8"/>
  <c r="M149" i="8"/>
  <c r="M154" i="8"/>
  <c r="M155" i="8"/>
  <c r="M172" i="8"/>
  <c r="N174" i="8"/>
  <c r="L149" i="8"/>
  <c r="L154" i="8"/>
  <c r="L155" i="8"/>
  <c r="L172" i="8"/>
  <c r="M174" i="8"/>
  <c r="K149" i="8"/>
  <c r="K154" i="8"/>
  <c r="K155" i="8"/>
  <c r="K172" i="8"/>
  <c r="L174" i="8"/>
  <c r="J149" i="8"/>
  <c r="J154" i="8"/>
  <c r="J155" i="8"/>
  <c r="J172" i="8"/>
  <c r="K174" i="8"/>
  <c r="I149" i="8"/>
  <c r="I154" i="8"/>
  <c r="I155" i="8"/>
  <c r="I172" i="8"/>
  <c r="J174" i="8"/>
  <c r="H149" i="8"/>
  <c r="H154" i="8"/>
  <c r="H155" i="8"/>
  <c r="H172" i="8"/>
  <c r="I174" i="8"/>
  <c r="G139" i="8"/>
  <c r="G142" i="8"/>
  <c r="G143" i="8"/>
  <c r="G149" i="8"/>
  <c r="G154" i="8"/>
  <c r="G155" i="8"/>
  <c r="G172" i="8"/>
  <c r="H174" i="8"/>
  <c r="F139" i="8"/>
  <c r="F142" i="8"/>
  <c r="F143" i="8"/>
  <c r="F149" i="8"/>
  <c r="F154" i="8"/>
  <c r="F155" i="8"/>
  <c r="F172" i="8"/>
  <c r="G174" i="8"/>
  <c r="E139" i="8"/>
  <c r="E142" i="8"/>
  <c r="E143" i="8"/>
  <c r="E149" i="8"/>
  <c r="E154" i="8"/>
  <c r="E155" i="8"/>
  <c r="E172" i="8"/>
  <c r="F174" i="8"/>
  <c r="D139" i="8"/>
  <c r="D142" i="8"/>
  <c r="D143" i="8"/>
  <c r="D149" i="8"/>
  <c r="D154" i="8"/>
  <c r="D155" i="8"/>
  <c r="D172" i="8"/>
  <c r="E174" i="8"/>
  <c r="C149" i="8"/>
  <c r="C154" i="8"/>
  <c r="C155" i="8"/>
  <c r="C172" i="8"/>
  <c r="D174" i="8"/>
  <c r="C174" i="8"/>
  <c r="N152" i="8"/>
  <c r="N153" i="8"/>
  <c r="N167" i="8"/>
  <c r="M152" i="8"/>
  <c r="M153" i="8"/>
  <c r="M167" i="8"/>
  <c r="N169" i="8"/>
  <c r="L152" i="8"/>
  <c r="L153" i="8"/>
  <c r="L167" i="8"/>
  <c r="M169" i="8"/>
  <c r="K152" i="8"/>
  <c r="K153" i="8"/>
  <c r="K167" i="8"/>
  <c r="L169" i="8"/>
  <c r="J152" i="8"/>
  <c r="J153" i="8"/>
  <c r="J167" i="8"/>
  <c r="K169" i="8"/>
  <c r="I152" i="8"/>
  <c r="I153" i="8"/>
  <c r="I167" i="8"/>
  <c r="J169" i="8"/>
  <c r="H152" i="8"/>
  <c r="H153" i="8"/>
  <c r="H167" i="8"/>
  <c r="I169" i="8"/>
  <c r="G152" i="8"/>
  <c r="G153" i="8"/>
  <c r="G167" i="8"/>
  <c r="H169" i="8"/>
  <c r="F152" i="8"/>
  <c r="F153" i="8"/>
  <c r="F167" i="8"/>
  <c r="G169" i="8"/>
  <c r="E152" i="8"/>
  <c r="E153" i="8"/>
  <c r="E167" i="8"/>
  <c r="F169" i="8"/>
  <c r="D152" i="8"/>
  <c r="D153" i="8"/>
  <c r="D167" i="8"/>
  <c r="E169" i="8"/>
  <c r="C152" i="8"/>
  <c r="C153" i="8"/>
  <c r="C167" i="8"/>
  <c r="D169" i="8"/>
  <c r="C169" i="8"/>
  <c r="N150" i="8"/>
  <c r="N151" i="8"/>
  <c r="N162" i="8"/>
  <c r="M150" i="8"/>
  <c r="M151" i="8"/>
  <c r="M162" i="8"/>
  <c r="N164" i="8"/>
  <c r="L150" i="8"/>
  <c r="L151" i="8"/>
  <c r="L162" i="8"/>
  <c r="M164" i="8"/>
  <c r="K150" i="8"/>
  <c r="K151" i="8"/>
  <c r="K162" i="8"/>
  <c r="L164" i="8"/>
  <c r="J150" i="8"/>
  <c r="J151" i="8"/>
  <c r="J162" i="8"/>
  <c r="K164" i="8"/>
  <c r="I150" i="8"/>
  <c r="I151" i="8"/>
  <c r="I162" i="8"/>
  <c r="J164" i="8"/>
  <c r="H150" i="8"/>
  <c r="H151" i="8"/>
  <c r="H162" i="8"/>
  <c r="I164" i="8"/>
  <c r="G150" i="8"/>
  <c r="G151" i="8"/>
  <c r="G162" i="8"/>
  <c r="H164" i="8"/>
  <c r="F150" i="8"/>
  <c r="F151" i="8"/>
  <c r="F162" i="8"/>
  <c r="G164" i="8"/>
  <c r="E150" i="8"/>
  <c r="E151" i="8"/>
  <c r="E162" i="8"/>
  <c r="F164" i="8"/>
  <c r="D150" i="8"/>
  <c r="D151" i="8"/>
  <c r="D162" i="8"/>
  <c r="E164" i="8"/>
  <c r="C150" i="8"/>
  <c r="C151" i="8"/>
  <c r="C162" i="8"/>
  <c r="D164" i="8"/>
  <c r="C164" i="8"/>
  <c r="N158" i="8"/>
  <c r="N159" i="8"/>
  <c r="M158" i="8"/>
  <c r="M159" i="8"/>
  <c r="L158" i="8"/>
  <c r="L159" i="8"/>
  <c r="K158" i="8"/>
  <c r="K159" i="8"/>
  <c r="J158" i="8"/>
  <c r="J159" i="8"/>
  <c r="I158" i="8"/>
  <c r="I159" i="8"/>
  <c r="H158" i="8"/>
  <c r="H159" i="8"/>
  <c r="G158" i="8"/>
  <c r="G159" i="8"/>
  <c r="F158" i="8"/>
  <c r="F159" i="8"/>
  <c r="E158" i="8"/>
  <c r="E159" i="8"/>
  <c r="D158" i="8"/>
  <c r="D159" i="8"/>
  <c r="C139" i="8"/>
  <c r="C142" i="8"/>
  <c r="C158" i="8"/>
  <c r="C159" i="8"/>
  <c r="N141" i="8"/>
  <c r="N157" i="8"/>
  <c r="M141" i="8"/>
  <c r="M157" i="8"/>
  <c r="L141" i="8"/>
  <c r="L157" i="8"/>
  <c r="K141" i="8"/>
  <c r="K157" i="8"/>
  <c r="J141" i="8"/>
  <c r="J157" i="8"/>
  <c r="I141" i="8"/>
  <c r="I157" i="8"/>
  <c r="H141" i="8"/>
  <c r="H157" i="8"/>
  <c r="G141" i="8"/>
  <c r="G157" i="8"/>
  <c r="F141" i="8"/>
  <c r="F157" i="8"/>
  <c r="E141" i="8"/>
  <c r="E157" i="8"/>
  <c r="D141" i="8"/>
  <c r="D157" i="8"/>
  <c r="C141" i="8"/>
  <c r="C157" i="8"/>
  <c r="N147" i="8"/>
  <c r="M147" i="8"/>
  <c r="L147" i="8"/>
  <c r="K147" i="8"/>
  <c r="J147" i="8"/>
  <c r="I147" i="8"/>
  <c r="H147" i="8"/>
  <c r="G147" i="8"/>
  <c r="F147" i="8"/>
  <c r="E147" i="8"/>
  <c r="D147" i="8"/>
  <c r="C147" i="8"/>
  <c r="N145" i="8"/>
  <c r="M145" i="8"/>
  <c r="L145" i="8"/>
  <c r="K145" i="8"/>
  <c r="J145" i="8"/>
  <c r="I145" i="8"/>
  <c r="H145" i="8"/>
  <c r="G145" i="8"/>
  <c r="F145" i="8"/>
  <c r="E145" i="8"/>
  <c r="D145" i="8"/>
  <c r="C145" i="8"/>
  <c r="H144" i="8"/>
  <c r="G144" i="8"/>
  <c r="F144" i="8"/>
  <c r="E144" i="8"/>
  <c r="D144" i="8"/>
  <c r="C144" i="8"/>
  <c r="N137" i="8"/>
  <c r="M137" i="8"/>
  <c r="L137" i="8"/>
  <c r="K137" i="8"/>
  <c r="J137" i="8"/>
  <c r="I137" i="8"/>
  <c r="H137" i="8"/>
  <c r="G137" i="8"/>
  <c r="F137" i="8"/>
  <c r="E137" i="8"/>
  <c r="D137" i="8"/>
  <c r="C137" i="8"/>
  <c r="E127" i="8"/>
  <c r="D127" i="8"/>
  <c r="C127" i="8"/>
  <c r="N126" i="8"/>
  <c r="M126" i="8"/>
  <c r="L126" i="8"/>
  <c r="K126" i="8"/>
  <c r="J126" i="8"/>
  <c r="I126" i="8"/>
  <c r="N96" i="8"/>
  <c r="N101" i="8"/>
  <c r="N102" i="8"/>
  <c r="N121" i="8"/>
  <c r="M96" i="8"/>
  <c r="M101" i="8"/>
  <c r="M102" i="8"/>
  <c r="M121" i="8"/>
  <c r="N123" i="8"/>
  <c r="L96" i="8"/>
  <c r="L101" i="8"/>
  <c r="L102" i="8"/>
  <c r="L121" i="8"/>
  <c r="M123" i="8"/>
  <c r="K96" i="8"/>
  <c r="K101" i="8"/>
  <c r="K102" i="8"/>
  <c r="K121" i="8"/>
  <c r="L123" i="8"/>
  <c r="J96" i="8"/>
  <c r="J101" i="8"/>
  <c r="J102" i="8"/>
  <c r="J121" i="8"/>
  <c r="K123" i="8"/>
  <c r="I96" i="8"/>
  <c r="I101" i="8"/>
  <c r="I102" i="8"/>
  <c r="I121" i="8"/>
  <c r="J123" i="8"/>
  <c r="H96" i="8"/>
  <c r="H101" i="8"/>
  <c r="H102" i="8"/>
  <c r="H121" i="8"/>
  <c r="I123" i="8"/>
  <c r="G81" i="8"/>
  <c r="G86" i="8"/>
  <c r="G89" i="8"/>
  <c r="G90" i="8"/>
  <c r="G96" i="8"/>
  <c r="G101" i="8"/>
  <c r="G102" i="8"/>
  <c r="G121" i="8"/>
  <c r="H123" i="8"/>
  <c r="F81" i="8"/>
  <c r="F86" i="8"/>
  <c r="F89" i="8"/>
  <c r="F90" i="8"/>
  <c r="F96" i="8"/>
  <c r="F101" i="8"/>
  <c r="F102" i="8"/>
  <c r="F121" i="8"/>
  <c r="G123" i="8"/>
  <c r="E81" i="8"/>
  <c r="E86" i="8"/>
  <c r="E89" i="8"/>
  <c r="E90" i="8"/>
  <c r="E96" i="8"/>
  <c r="E101" i="8"/>
  <c r="E102" i="8"/>
  <c r="E121" i="8"/>
  <c r="F123" i="8"/>
  <c r="D81" i="8"/>
  <c r="D86" i="8"/>
  <c r="D89" i="8"/>
  <c r="D90" i="8"/>
  <c r="D96" i="8"/>
  <c r="D101" i="8"/>
  <c r="D102" i="8"/>
  <c r="D121" i="8"/>
  <c r="E123" i="8"/>
  <c r="C81" i="8"/>
  <c r="C86" i="8"/>
  <c r="C89" i="8"/>
  <c r="C90" i="8"/>
  <c r="C96" i="8"/>
  <c r="C101" i="8"/>
  <c r="C102" i="8"/>
  <c r="C121" i="8"/>
  <c r="D123" i="8"/>
  <c r="C123" i="8"/>
  <c r="N99" i="8"/>
  <c r="N100" i="8"/>
  <c r="N116" i="8"/>
  <c r="M99" i="8"/>
  <c r="M100" i="8"/>
  <c r="M116" i="8"/>
  <c r="N118" i="8"/>
  <c r="L99" i="8"/>
  <c r="L100" i="8"/>
  <c r="L116" i="8"/>
  <c r="M118" i="8"/>
  <c r="K99" i="8"/>
  <c r="K100" i="8"/>
  <c r="K116" i="8"/>
  <c r="L118" i="8"/>
  <c r="J99" i="8"/>
  <c r="J100" i="8"/>
  <c r="J116" i="8"/>
  <c r="K118" i="8"/>
  <c r="I99" i="8"/>
  <c r="I100" i="8"/>
  <c r="I116" i="8"/>
  <c r="J118" i="8"/>
  <c r="H99" i="8"/>
  <c r="H100" i="8"/>
  <c r="H116" i="8"/>
  <c r="I118" i="8"/>
  <c r="G99" i="8"/>
  <c r="G100" i="8"/>
  <c r="G116" i="8"/>
  <c r="H118" i="8"/>
  <c r="F99" i="8"/>
  <c r="F100" i="8"/>
  <c r="F116" i="8"/>
  <c r="G118" i="8"/>
  <c r="E99" i="8"/>
  <c r="E100" i="8"/>
  <c r="E116" i="8"/>
  <c r="F118" i="8"/>
  <c r="D99" i="8"/>
  <c r="D100" i="8"/>
  <c r="D116" i="8"/>
  <c r="E118" i="8"/>
  <c r="C99" i="8"/>
  <c r="C100" i="8"/>
  <c r="C116" i="8"/>
  <c r="D118" i="8"/>
  <c r="C118" i="8"/>
  <c r="N97" i="8"/>
  <c r="N98" i="8"/>
  <c r="N111" i="8"/>
  <c r="M97" i="8"/>
  <c r="M98" i="8"/>
  <c r="M111" i="8"/>
  <c r="N113" i="8"/>
  <c r="L97" i="8"/>
  <c r="L98" i="8"/>
  <c r="L111" i="8"/>
  <c r="M113" i="8"/>
  <c r="K97" i="8"/>
  <c r="K98" i="8"/>
  <c r="K111" i="8"/>
  <c r="L113" i="8"/>
  <c r="J97" i="8"/>
  <c r="J98" i="8"/>
  <c r="J111" i="8"/>
  <c r="K113" i="8"/>
  <c r="I97" i="8"/>
  <c r="I98" i="8"/>
  <c r="I111" i="8"/>
  <c r="J113" i="8"/>
  <c r="H97" i="8"/>
  <c r="H98" i="8"/>
  <c r="H111" i="8"/>
  <c r="I113" i="8"/>
  <c r="G97" i="8"/>
  <c r="G98" i="8"/>
  <c r="G111" i="8"/>
  <c r="H113" i="8"/>
  <c r="F97" i="8"/>
  <c r="F98" i="8"/>
  <c r="F111" i="8"/>
  <c r="G113" i="8"/>
  <c r="E97" i="8"/>
  <c r="E98" i="8"/>
  <c r="E111" i="8"/>
  <c r="F113" i="8"/>
  <c r="D97" i="8"/>
  <c r="D98" i="8"/>
  <c r="D111" i="8"/>
  <c r="E113" i="8"/>
  <c r="C97" i="8"/>
  <c r="C98" i="8"/>
  <c r="C111" i="8"/>
  <c r="D113" i="8"/>
  <c r="C113" i="8"/>
  <c r="N107" i="8"/>
  <c r="N108" i="8"/>
  <c r="M107" i="8"/>
  <c r="M108" i="8"/>
  <c r="L107" i="8"/>
  <c r="L108" i="8"/>
  <c r="K107" i="8"/>
  <c r="K108" i="8"/>
  <c r="J107" i="8"/>
  <c r="J108" i="8"/>
  <c r="I107" i="8"/>
  <c r="I108" i="8"/>
  <c r="H107" i="8"/>
  <c r="H108" i="8"/>
  <c r="G107" i="8"/>
  <c r="G108" i="8"/>
  <c r="F107" i="8"/>
  <c r="F108" i="8"/>
  <c r="E107" i="8"/>
  <c r="E108" i="8"/>
  <c r="D107" i="8"/>
  <c r="D108" i="8"/>
  <c r="C107" i="8"/>
  <c r="C108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N105" i="8"/>
  <c r="M105" i="8"/>
  <c r="L105" i="8"/>
  <c r="K105" i="8"/>
  <c r="J105" i="8"/>
  <c r="I105" i="8"/>
  <c r="H105" i="8"/>
  <c r="G105" i="8"/>
  <c r="F105" i="8"/>
  <c r="E105" i="8"/>
  <c r="D105" i="8"/>
  <c r="C105" i="8"/>
  <c r="N88" i="8"/>
  <c r="N104" i="8"/>
  <c r="M88" i="8"/>
  <c r="M104" i="8"/>
  <c r="L88" i="8"/>
  <c r="L104" i="8"/>
  <c r="K88" i="8"/>
  <c r="K104" i="8"/>
  <c r="J88" i="8"/>
  <c r="J104" i="8"/>
  <c r="I88" i="8"/>
  <c r="I104" i="8"/>
  <c r="H88" i="8"/>
  <c r="H104" i="8"/>
  <c r="G88" i="8"/>
  <c r="G104" i="8"/>
  <c r="F88" i="8"/>
  <c r="F104" i="8"/>
  <c r="E88" i="8"/>
  <c r="E104" i="8"/>
  <c r="D88" i="8"/>
  <c r="D104" i="8"/>
  <c r="C88" i="8"/>
  <c r="C104" i="8"/>
  <c r="N94" i="8"/>
  <c r="M94" i="8"/>
  <c r="L94" i="8"/>
  <c r="K94" i="8"/>
  <c r="J94" i="8"/>
  <c r="I94" i="8"/>
  <c r="H94" i="8"/>
  <c r="G94" i="8"/>
  <c r="F94" i="8"/>
  <c r="E94" i="8"/>
  <c r="D94" i="8"/>
  <c r="C94" i="8"/>
  <c r="N92" i="8"/>
  <c r="M92" i="8"/>
  <c r="L92" i="8"/>
  <c r="K92" i="8"/>
  <c r="J92" i="8"/>
  <c r="I92" i="8"/>
  <c r="H92" i="8"/>
  <c r="G92" i="8"/>
  <c r="F92" i="8"/>
  <c r="E92" i="8"/>
  <c r="D92" i="8"/>
  <c r="C92" i="8"/>
  <c r="H91" i="8"/>
  <c r="G91" i="8"/>
  <c r="F91" i="8"/>
  <c r="E91" i="8"/>
  <c r="D91" i="8"/>
  <c r="C91" i="8"/>
  <c r="N84" i="8"/>
  <c r="M84" i="8"/>
  <c r="L84" i="8"/>
  <c r="K84" i="8"/>
  <c r="J84" i="8"/>
  <c r="I84" i="8"/>
  <c r="H84" i="8"/>
  <c r="G84" i="8"/>
  <c r="F84" i="8"/>
  <c r="E84" i="8"/>
  <c r="D84" i="8"/>
  <c r="C84" i="8"/>
  <c r="N79" i="8"/>
  <c r="M79" i="8"/>
  <c r="L79" i="8"/>
  <c r="K79" i="8"/>
  <c r="J79" i="8"/>
  <c r="I79" i="8"/>
  <c r="H79" i="8"/>
  <c r="G79" i="8"/>
  <c r="F79" i="8"/>
  <c r="E79" i="8"/>
  <c r="D79" i="8"/>
  <c r="C79" i="8"/>
  <c r="E69" i="8"/>
  <c r="D69" i="8"/>
  <c r="C69" i="8"/>
  <c r="N68" i="8"/>
  <c r="M68" i="8"/>
  <c r="L68" i="8"/>
  <c r="K68" i="8"/>
  <c r="J68" i="8"/>
  <c r="I68" i="8"/>
  <c r="N31" i="8"/>
  <c r="N36" i="8"/>
  <c r="N37" i="8"/>
  <c r="N62" i="8"/>
  <c r="N63" i="8"/>
  <c r="M31" i="8"/>
  <c r="M36" i="8"/>
  <c r="M37" i="8"/>
  <c r="M62" i="8"/>
  <c r="M63" i="8"/>
  <c r="N65" i="8"/>
  <c r="L31" i="8"/>
  <c r="L36" i="8"/>
  <c r="L37" i="8"/>
  <c r="L62" i="8"/>
  <c r="L63" i="8"/>
  <c r="M65" i="8"/>
  <c r="K31" i="8"/>
  <c r="K36" i="8"/>
  <c r="K37" i="8"/>
  <c r="K62" i="8"/>
  <c r="K63" i="8"/>
  <c r="L65" i="8"/>
  <c r="J31" i="8"/>
  <c r="J36" i="8"/>
  <c r="J37" i="8"/>
  <c r="J62" i="8"/>
  <c r="J63" i="8"/>
  <c r="K65" i="8"/>
  <c r="I31" i="8"/>
  <c r="I36" i="8"/>
  <c r="I37" i="8"/>
  <c r="I62" i="8"/>
  <c r="I63" i="8"/>
  <c r="J65" i="8"/>
  <c r="H31" i="8"/>
  <c r="H36" i="8"/>
  <c r="H37" i="8"/>
  <c r="H62" i="8"/>
  <c r="H63" i="8"/>
  <c r="I65" i="8"/>
  <c r="G31" i="8"/>
  <c r="G36" i="8"/>
  <c r="G37" i="8"/>
  <c r="G62" i="8"/>
  <c r="G63" i="8"/>
  <c r="H65" i="8"/>
  <c r="F31" i="8"/>
  <c r="F36" i="8"/>
  <c r="F37" i="8"/>
  <c r="F62" i="8"/>
  <c r="F63" i="8"/>
  <c r="G65" i="8"/>
  <c r="E31" i="8"/>
  <c r="E36" i="8"/>
  <c r="E37" i="8"/>
  <c r="E62" i="8"/>
  <c r="E63" i="8"/>
  <c r="F65" i="8"/>
  <c r="D31" i="8"/>
  <c r="D36" i="8"/>
  <c r="D37" i="8"/>
  <c r="D62" i="8"/>
  <c r="D63" i="8"/>
  <c r="E65" i="8"/>
  <c r="C31" i="8"/>
  <c r="C36" i="8"/>
  <c r="C37" i="8"/>
  <c r="C62" i="8"/>
  <c r="C63" i="8"/>
  <c r="D65" i="8"/>
  <c r="C65" i="8"/>
  <c r="N34" i="8"/>
  <c r="N35" i="8"/>
  <c r="N57" i="8"/>
  <c r="N58" i="8"/>
  <c r="M34" i="8"/>
  <c r="M35" i="8"/>
  <c r="M57" i="8"/>
  <c r="M58" i="8"/>
  <c r="N60" i="8"/>
  <c r="L34" i="8"/>
  <c r="L35" i="8"/>
  <c r="L57" i="8"/>
  <c r="L58" i="8"/>
  <c r="M60" i="8"/>
  <c r="K34" i="8"/>
  <c r="K35" i="8"/>
  <c r="K57" i="8"/>
  <c r="K58" i="8"/>
  <c r="L60" i="8"/>
  <c r="J34" i="8"/>
  <c r="J35" i="8"/>
  <c r="J57" i="8"/>
  <c r="J58" i="8"/>
  <c r="K60" i="8"/>
  <c r="I34" i="8"/>
  <c r="I35" i="8"/>
  <c r="I57" i="8"/>
  <c r="I58" i="8"/>
  <c r="J60" i="8"/>
  <c r="H34" i="8"/>
  <c r="H35" i="8"/>
  <c r="H57" i="8"/>
  <c r="H58" i="8"/>
  <c r="I60" i="8"/>
  <c r="G34" i="8"/>
  <c r="G35" i="8"/>
  <c r="G57" i="8"/>
  <c r="G58" i="8"/>
  <c r="H60" i="8"/>
  <c r="F34" i="8"/>
  <c r="F35" i="8"/>
  <c r="F57" i="8"/>
  <c r="F58" i="8"/>
  <c r="G60" i="8"/>
  <c r="E34" i="8"/>
  <c r="E35" i="8"/>
  <c r="E57" i="8"/>
  <c r="E58" i="8"/>
  <c r="F60" i="8"/>
  <c r="D34" i="8"/>
  <c r="D35" i="8"/>
  <c r="D57" i="8"/>
  <c r="D58" i="8"/>
  <c r="E60" i="8"/>
  <c r="C34" i="8"/>
  <c r="C35" i="8"/>
  <c r="C57" i="8"/>
  <c r="C58" i="8"/>
  <c r="D60" i="8"/>
  <c r="C60" i="8"/>
  <c r="N32" i="8"/>
  <c r="N33" i="8"/>
  <c r="N52" i="8"/>
  <c r="N53" i="8"/>
  <c r="M32" i="8"/>
  <c r="M33" i="8"/>
  <c r="M52" i="8"/>
  <c r="M53" i="8"/>
  <c r="N55" i="8"/>
  <c r="L32" i="8"/>
  <c r="L33" i="8"/>
  <c r="L52" i="8"/>
  <c r="L53" i="8"/>
  <c r="M55" i="8"/>
  <c r="K32" i="8"/>
  <c r="K33" i="8"/>
  <c r="K52" i="8"/>
  <c r="K53" i="8"/>
  <c r="L55" i="8"/>
  <c r="J32" i="8"/>
  <c r="J33" i="8"/>
  <c r="J52" i="8"/>
  <c r="J53" i="8"/>
  <c r="K55" i="8"/>
  <c r="I32" i="8"/>
  <c r="I33" i="8"/>
  <c r="I52" i="8"/>
  <c r="I53" i="8"/>
  <c r="J55" i="8"/>
  <c r="H32" i="8"/>
  <c r="H33" i="8"/>
  <c r="H52" i="8"/>
  <c r="H53" i="8"/>
  <c r="I55" i="8"/>
  <c r="G32" i="8"/>
  <c r="G33" i="8"/>
  <c r="G52" i="8"/>
  <c r="G53" i="8"/>
  <c r="H55" i="8"/>
  <c r="F32" i="8"/>
  <c r="F33" i="8"/>
  <c r="F52" i="8"/>
  <c r="F53" i="8"/>
  <c r="G55" i="8"/>
  <c r="E32" i="8"/>
  <c r="E33" i="8"/>
  <c r="E52" i="8"/>
  <c r="E53" i="8"/>
  <c r="F55" i="8"/>
  <c r="D32" i="8"/>
  <c r="D33" i="8"/>
  <c r="D52" i="8"/>
  <c r="D53" i="8"/>
  <c r="E55" i="8"/>
  <c r="C32" i="8"/>
  <c r="C33" i="8"/>
  <c r="C52" i="8"/>
  <c r="C53" i="8"/>
  <c r="D55" i="8"/>
  <c r="C55" i="8"/>
  <c r="E51" i="8"/>
  <c r="D51" i="8"/>
  <c r="C51" i="8"/>
  <c r="H49" i="8"/>
  <c r="G49" i="8"/>
  <c r="F49" i="8"/>
  <c r="E49" i="8"/>
  <c r="D49" i="8"/>
  <c r="C49" i="8"/>
  <c r="N46" i="8"/>
  <c r="M46" i="8"/>
  <c r="L46" i="8"/>
  <c r="K46" i="8"/>
  <c r="J46" i="8"/>
  <c r="I46" i="8"/>
  <c r="H46" i="8"/>
  <c r="G46" i="8"/>
  <c r="F46" i="8"/>
  <c r="E46" i="8"/>
  <c r="D46" i="8"/>
  <c r="C46" i="8"/>
  <c r="N42" i="8"/>
  <c r="N43" i="8"/>
  <c r="M42" i="8"/>
  <c r="M43" i="8"/>
  <c r="L42" i="8"/>
  <c r="L43" i="8"/>
  <c r="K42" i="8"/>
  <c r="K43" i="8"/>
  <c r="J42" i="8"/>
  <c r="J43" i="8"/>
  <c r="I42" i="8"/>
  <c r="I43" i="8"/>
  <c r="H42" i="8"/>
  <c r="H43" i="8"/>
  <c r="G42" i="8"/>
  <c r="G43" i="8"/>
  <c r="F42" i="8"/>
  <c r="F43" i="8"/>
  <c r="E42" i="8"/>
  <c r="E43" i="8"/>
  <c r="D42" i="8"/>
  <c r="D43" i="8"/>
  <c r="C42" i="8"/>
  <c r="C43" i="8"/>
  <c r="N41" i="8"/>
  <c r="M41" i="8"/>
  <c r="L41" i="8"/>
  <c r="K41" i="8"/>
  <c r="J41" i="8"/>
  <c r="I41" i="8"/>
  <c r="H41" i="8"/>
  <c r="G41" i="8"/>
  <c r="F41" i="8"/>
  <c r="E41" i="8"/>
  <c r="D41" i="8"/>
  <c r="C41" i="8"/>
  <c r="N40" i="8"/>
  <c r="M40" i="8"/>
  <c r="L40" i="8"/>
  <c r="K40" i="8"/>
  <c r="J40" i="8"/>
  <c r="I40" i="8"/>
  <c r="H40" i="8"/>
  <c r="G40" i="8"/>
  <c r="F40" i="8"/>
  <c r="E40" i="8"/>
  <c r="D40" i="8"/>
  <c r="C40" i="8"/>
  <c r="N23" i="8"/>
  <c r="N39" i="8"/>
  <c r="M23" i="8"/>
  <c r="M39" i="8"/>
  <c r="L23" i="8"/>
  <c r="L39" i="8"/>
  <c r="K23" i="8"/>
  <c r="K39" i="8"/>
  <c r="J23" i="8"/>
  <c r="J39" i="8"/>
  <c r="I23" i="8"/>
  <c r="I39" i="8"/>
  <c r="H23" i="8"/>
  <c r="H39" i="8"/>
  <c r="G23" i="8"/>
  <c r="G39" i="8"/>
  <c r="F23" i="8"/>
  <c r="F39" i="8"/>
  <c r="E23" i="8"/>
  <c r="E39" i="8"/>
  <c r="D23" i="8"/>
  <c r="D39" i="8"/>
  <c r="C23" i="8"/>
  <c r="C39" i="8"/>
  <c r="N29" i="8"/>
  <c r="M29" i="8"/>
  <c r="L29" i="8"/>
  <c r="K29" i="8"/>
  <c r="J29" i="8"/>
  <c r="I29" i="8"/>
  <c r="H29" i="8"/>
  <c r="G29" i="8"/>
  <c r="F29" i="8"/>
  <c r="E29" i="8"/>
  <c r="D29" i="8"/>
  <c r="C29" i="8"/>
  <c r="N27" i="8"/>
  <c r="M27" i="8"/>
  <c r="L27" i="8"/>
  <c r="K27" i="8"/>
  <c r="J27" i="8"/>
  <c r="I27" i="8"/>
  <c r="H27" i="8"/>
  <c r="G27" i="8"/>
  <c r="F27" i="8"/>
  <c r="E27" i="8"/>
  <c r="D27" i="8"/>
  <c r="C27" i="8"/>
  <c r="H26" i="8"/>
  <c r="G26" i="8"/>
  <c r="F26" i="8"/>
  <c r="E26" i="8"/>
  <c r="D26" i="8"/>
  <c r="C26" i="8"/>
  <c r="N19" i="8"/>
  <c r="M19" i="8"/>
  <c r="L19" i="8"/>
  <c r="K19" i="8"/>
  <c r="J19" i="8"/>
  <c r="I19" i="8"/>
  <c r="H19" i="8"/>
  <c r="G19" i="8"/>
  <c r="F19" i="8"/>
  <c r="E19" i="8"/>
  <c r="D19" i="8"/>
  <c r="C19" i="8"/>
  <c r="N14" i="8"/>
  <c r="M14" i="8"/>
  <c r="L14" i="8"/>
  <c r="K14" i="8"/>
  <c r="J14" i="8"/>
  <c r="I14" i="8"/>
  <c r="H14" i="8"/>
  <c r="G14" i="8"/>
  <c r="F14" i="8"/>
  <c r="E14" i="8"/>
  <c r="D14" i="8"/>
  <c r="C14" i="8"/>
  <c r="G24" i="6"/>
  <c r="G36" i="2"/>
  <c r="G20" i="6"/>
  <c r="D17" i="6"/>
  <c r="B41" i="2"/>
  <c r="B42" i="2"/>
  <c r="H54" i="2"/>
  <c r="I54" i="2"/>
  <c r="J54" i="2"/>
  <c r="K54" i="2"/>
  <c r="L54" i="2"/>
  <c r="M54" i="2"/>
  <c r="H39" i="4"/>
  <c r="H157" i="4"/>
  <c r="C157" i="4"/>
  <c r="D97" i="4"/>
  <c r="E96" i="4"/>
  <c r="D111" i="4"/>
  <c r="G90" i="4"/>
  <c r="F90" i="4"/>
  <c r="E90" i="4"/>
  <c r="D90" i="4"/>
  <c r="C90" i="4"/>
  <c r="I142" i="4"/>
  <c r="C142" i="4"/>
  <c r="C145" i="4"/>
  <c r="I138" i="4"/>
  <c r="J144" i="4"/>
  <c r="I144" i="4"/>
  <c r="I139" i="4"/>
  <c r="I146" i="4"/>
  <c r="I176" i="4"/>
  <c r="I179" i="4"/>
  <c r="I199" i="4"/>
  <c r="I200" i="4"/>
  <c r="H18" i="2"/>
  <c r="H23" i="2"/>
  <c r="H26" i="2"/>
  <c r="H24" i="2"/>
  <c r="I196" i="4"/>
  <c r="I50" i="2"/>
  <c r="J50" i="2"/>
  <c r="K50" i="2"/>
  <c r="L50" i="2"/>
  <c r="M50" i="2"/>
  <c r="K52" i="2"/>
  <c r="M52" i="2"/>
  <c r="M31" i="2"/>
  <c r="G31" i="2"/>
  <c r="F200" i="4"/>
  <c r="E200" i="4"/>
  <c r="D18" i="2"/>
  <c r="D29" i="2"/>
  <c r="I15" i="4"/>
  <c r="D16" i="6"/>
  <c r="G18" i="2"/>
  <c r="G29" i="2"/>
  <c r="G52" i="2"/>
  <c r="G32" i="2"/>
  <c r="G35" i="2"/>
  <c r="G28" i="6"/>
  <c r="G26" i="6"/>
  <c r="H32" i="2"/>
  <c r="G33" i="2"/>
  <c r="G34" i="2"/>
  <c r="B52" i="2"/>
  <c r="B31" i="2"/>
  <c r="B18" i="2"/>
  <c r="B29" i="2"/>
  <c r="B33" i="2"/>
  <c r="B34" i="2"/>
  <c r="C5" i="2"/>
  <c r="D125" i="4"/>
  <c r="C6" i="2"/>
  <c r="C7" i="2"/>
  <c r="C9" i="2"/>
  <c r="B5" i="2"/>
  <c r="B6" i="2"/>
  <c r="B7" i="2"/>
  <c r="B9" i="2"/>
  <c r="C10" i="2"/>
  <c r="B10" i="2"/>
  <c r="C32" i="4"/>
  <c r="C33" i="4"/>
  <c r="C34" i="4"/>
  <c r="C35" i="4"/>
  <c r="C36" i="4"/>
  <c r="C37" i="4"/>
  <c r="J12" i="6"/>
  <c r="J9" i="6"/>
  <c r="I52" i="2"/>
  <c r="I31" i="2"/>
  <c r="I32" i="2"/>
  <c r="I16" i="4"/>
  <c r="I24" i="4"/>
  <c r="I28" i="4"/>
  <c r="I67" i="4"/>
  <c r="H5" i="2"/>
  <c r="H6" i="2"/>
  <c r="H7" i="2"/>
  <c r="H9" i="2"/>
  <c r="G5" i="2"/>
  <c r="G6" i="2"/>
  <c r="G7" i="2"/>
  <c r="G9" i="2"/>
  <c r="H10" i="2"/>
  <c r="H28" i="2"/>
  <c r="J15" i="4"/>
  <c r="J16" i="4"/>
  <c r="J24" i="4"/>
  <c r="J28" i="4"/>
  <c r="J67" i="4"/>
  <c r="I5" i="2"/>
  <c r="J80" i="4"/>
  <c r="J81" i="4"/>
  <c r="J89" i="4"/>
  <c r="J93" i="4"/>
  <c r="J125" i="4"/>
  <c r="I6" i="2"/>
  <c r="J138" i="4"/>
  <c r="J139" i="4"/>
  <c r="J142" i="4"/>
  <c r="J146" i="4"/>
  <c r="J176" i="4"/>
  <c r="I7" i="2"/>
  <c r="I9" i="2"/>
  <c r="I10" i="2"/>
  <c r="I28" i="2"/>
  <c r="J70" i="4"/>
  <c r="J128" i="4"/>
  <c r="J179" i="4"/>
  <c r="J196" i="4"/>
  <c r="J199" i="4"/>
  <c r="J200" i="4"/>
  <c r="I18" i="2"/>
  <c r="I29" i="2"/>
  <c r="H20" i="2"/>
  <c r="I20" i="2"/>
  <c r="I33" i="2"/>
  <c r="I34" i="2"/>
  <c r="F5" i="2"/>
  <c r="F6" i="2"/>
  <c r="F7" i="2"/>
  <c r="F9" i="2"/>
  <c r="G10" i="2"/>
  <c r="G38" i="2"/>
  <c r="H38" i="2"/>
  <c r="C52" i="2"/>
  <c r="C58" i="2"/>
  <c r="D198" i="4"/>
  <c r="D68" i="4"/>
  <c r="D70" i="4"/>
  <c r="D126" i="4"/>
  <c r="D128" i="4"/>
  <c r="D177" i="4"/>
  <c r="D179" i="4"/>
  <c r="D199" i="4"/>
  <c r="D200" i="4"/>
  <c r="C18" i="2"/>
  <c r="C29" i="2"/>
  <c r="C45" i="2"/>
  <c r="D52" i="2"/>
  <c r="D58" i="2"/>
  <c r="D45" i="2"/>
  <c r="E52" i="2"/>
  <c r="E58" i="2"/>
  <c r="E18" i="2"/>
  <c r="E29" i="2"/>
  <c r="E45" i="2"/>
  <c r="F52" i="2"/>
  <c r="F58" i="2"/>
  <c r="F18" i="2"/>
  <c r="F29" i="2"/>
  <c r="F45" i="2"/>
  <c r="G58" i="2"/>
  <c r="G45" i="2"/>
  <c r="H52" i="2"/>
  <c r="H58" i="2"/>
  <c r="I70" i="4"/>
  <c r="H29" i="2"/>
  <c r="H45" i="2"/>
  <c r="I58" i="2"/>
  <c r="I38" i="2"/>
  <c r="I45" i="2"/>
  <c r="J52" i="2"/>
  <c r="J58" i="2"/>
  <c r="K15" i="4"/>
  <c r="K16" i="4"/>
  <c r="K24" i="4"/>
  <c r="K28" i="4"/>
  <c r="K67" i="4"/>
  <c r="J5" i="2"/>
  <c r="K80" i="4"/>
  <c r="K81" i="4"/>
  <c r="K89" i="4"/>
  <c r="K93" i="4"/>
  <c r="K125" i="4"/>
  <c r="J6" i="2"/>
  <c r="K138" i="4"/>
  <c r="K139" i="4"/>
  <c r="K142" i="4"/>
  <c r="K146" i="4"/>
  <c r="K176" i="4"/>
  <c r="J7" i="2"/>
  <c r="J9" i="2"/>
  <c r="J10" i="2"/>
  <c r="J38" i="2"/>
  <c r="J28" i="2"/>
  <c r="K70" i="4"/>
  <c r="K128" i="4"/>
  <c r="K179" i="4"/>
  <c r="K196" i="4"/>
  <c r="K199" i="4"/>
  <c r="K200" i="4"/>
  <c r="J18" i="2"/>
  <c r="J29" i="2"/>
  <c r="J45" i="2"/>
  <c r="K58" i="2"/>
  <c r="L15" i="4"/>
  <c r="L16" i="4"/>
  <c r="L24" i="4"/>
  <c r="L28" i="4"/>
  <c r="L67" i="4"/>
  <c r="K5" i="2"/>
  <c r="L80" i="4"/>
  <c r="L81" i="4"/>
  <c r="L89" i="4"/>
  <c r="L93" i="4"/>
  <c r="L125" i="4"/>
  <c r="K6" i="2"/>
  <c r="L138" i="4"/>
  <c r="L139" i="4"/>
  <c r="L142" i="4"/>
  <c r="L146" i="4"/>
  <c r="L176" i="4"/>
  <c r="K7" i="2"/>
  <c r="K9" i="2"/>
  <c r="K10" i="2"/>
  <c r="K38" i="2"/>
  <c r="K28" i="2"/>
  <c r="L70" i="4"/>
  <c r="L128" i="4"/>
  <c r="L179" i="4"/>
  <c r="L196" i="4"/>
  <c r="L199" i="4"/>
  <c r="L200" i="4"/>
  <c r="K18" i="2"/>
  <c r="K29" i="2"/>
  <c r="K45" i="2"/>
  <c r="L52" i="2"/>
  <c r="L58" i="2"/>
  <c r="M15" i="4"/>
  <c r="M16" i="4"/>
  <c r="M24" i="4"/>
  <c r="M28" i="4"/>
  <c r="M67" i="4"/>
  <c r="L5" i="2"/>
  <c r="M80" i="4"/>
  <c r="M81" i="4"/>
  <c r="M89" i="4"/>
  <c r="M93" i="4"/>
  <c r="M125" i="4"/>
  <c r="L6" i="2"/>
  <c r="M138" i="4"/>
  <c r="M139" i="4"/>
  <c r="M142" i="4"/>
  <c r="M146" i="4"/>
  <c r="M176" i="4"/>
  <c r="L7" i="2"/>
  <c r="L9" i="2"/>
  <c r="L10" i="2"/>
  <c r="L38" i="2"/>
  <c r="L28" i="2"/>
  <c r="M70" i="4"/>
  <c r="M128" i="4"/>
  <c r="M179" i="4"/>
  <c r="M196" i="4"/>
  <c r="M199" i="4"/>
  <c r="M200" i="4"/>
  <c r="L18" i="2"/>
  <c r="L29" i="2"/>
  <c r="L45" i="2"/>
  <c r="M58" i="2"/>
  <c r="N15" i="4"/>
  <c r="N16" i="4"/>
  <c r="N24" i="4"/>
  <c r="N28" i="4"/>
  <c r="N67" i="4"/>
  <c r="M5" i="2"/>
  <c r="N80" i="4"/>
  <c r="N81" i="4"/>
  <c r="N89" i="4"/>
  <c r="N93" i="4"/>
  <c r="N125" i="4"/>
  <c r="M6" i="2"/>
  <c r="N138" i="4"/>
  <c r="N139" i="4"/>
  <c r="N142" i="4"/>
  <c r="N146" i="4"/>
  <c r="N176" i="4"/>
  <c r="M7" i="2"/>
  <c r="M9" i="2"/>
  <c r="M10" i="2"/>
  <c r="M38" i="2"/>
  <c r="M28" i="2"/>
  <c r="N70" i="4"/>
  <c r="N128" i="4"/>
  <c r="N179" i="4"/>
  <c r="N196" i="4"/>
  <c r="N199" i="4"/>
  <c r="N200" i="4"/>
  <c r="M18" i="2"/>
  <c r="M29" i="2"/>
  <c r="M45" i="2"/>
  <c r="B58" i="2"/>
  <c r="B45" i="2"/>
  <c r="B44" i="2"/>
  <c r="C23" i="2"/>
  <c r="C26" i="2"/>
  <c r="D12" i="7"/>
  <c r="D5" i="7"/>
  <c r="D6" i="7"/>
  <c r="D7" i="7"/>
  <c r="C8" i="2"/>
  <c r="D8" i="7"/>
  <c r="D9" i="7"/>
  <c r="D21" i="7"/>
  <c r="D32" i="7"/>
  <c r="D23" i="2"/>
  <c r="D26" i="2"/>
  <c r="E12" i="7"/>
  <c r="D5" i="2"/>
  <c r="E5" i="7"/>
  <c r="D6" i="2"/>
  <c r="E6" i="7"/>
  <c r="D7" i="2"/>
  <c r="E7" i="7"/>
  <c r="D8" i="2"/>
  <c r="E8" i="7"/>
  <c r="E9" i="7"/>
  <c r="E21" i="7"/>
  <c r="E32" i="7"/>
  <c r="E23" i="2"/>
  <c r="E26" i="2"/>
  <c r="F12" i="7"/>
  <c r="E5" i="2"/>
  <c r="F5" i="7"/>
  <c r="E6" i="2"/>
  <c r="F6" i="7"/>
  <c r="E7" i="2"/>
  <c r="F7" i="7"/>
  <c r="E8" i="2"/>
  <c r="F8" i="7"/>
  <c r="F9" i="7"/>
  <c r="F21" i="7"/>
  <c r="F32" i="7"/>
  <c r="F23" i="2"/>
  <c r="F26" i="2"/>
  <c r="G12" i="7"/>
  <c r="G5" i="7"/>
  <c r="G6" i="7"/>
  <c r="G7" i="7"/>
  <c r="F8" i="2"/>
  <c r="G8" i="7"/>
  <c r="G9" i="7"/>
  <c r="G21" i="7"/>
  <c r="G32" i="7"/>
  <c r="G23" i="2"/>
  <c r="G25" i="2"/>
  <c r="G26" i="2"/>
  <c r="H12" i="7"/>
  <c r="H5" i="7"/>
  <c r="H6" i="7"/>
  <c r="H7" i="7"/>
  <c r="G8" i="2"/>
  <c r="H8" i="7"/>
  <c r="H9" i="7"/>
  <c r="H21" i="7"/>
  <c r="H32" i="7"/>
  <c r="I12" i="7"/>
  <c r="I5" i="7"/>
  <c r="I6" i="7"/>
  <c r="I7" i="7"/>
  <c r="H8" i="2"/>
  <c r="I8" i="7"/>
  <c r="I9" i="7"/>
  <c r="I21" i="7"/>
  <c r="I32" i="7"/>
  <c r="I23" i="2"/>
  <c r="I24" i="2"/>
  <c r="I26" i="2"/>
  <c r="J12" i="7"/>
  <c r="J5" i="7"/>
  <c r="J6" i="7"/>
  <c r="J7" i="7"/>
  <c r="I8" i="2"/>
  <c r="J8" i="7"/>
  <c r="J9" i="7"/>
  <c r="J21" i="7"/>
  <c r="J32" i="7"/>
  <c r="J20" i="2"/>
  <c r="J23" i="2"/>
  <c r="J24" i="2"/>
  <c r="J26" i="2"/>
  <c r="K12" i="7"/>
  <c r="K5" i="7"/>
  <c r="K6" i="7"/>
  <c r="K7" i="7"/>
  <c r="J8" i="2"/>
  <c r="K8" i="7"/>
  <c r="K9" i="7"/>
  <c r="K21" i="7"/>
  <c r="K32" i="7"/>
  <c r="K20" i="2"/>
  <c r="K23" i="2"/>
  <c r="K24" i="2"/>
  <c r="K26" i="2"/>
  <c r="L12" i="7"/>
  <c r="L5" i="7"/>
  <c r="L6" i="7"/>
  <c r="L7" i="7"/>
  <c r="K8" i="2"/>
  <c r="L8" i="7"/>
  <c r="L9" i="7"/>
  <c r="L21" i="7"/>
  <c r="L32" i="7"/>
  <c r="L20" i="2"/>
  <c r="L23" i="2"/>
  <c r="L24" i="2"/>
  <c r="L26" i="2"/>
  <c r="M12" i="7"/>
  <c r="M5" i="7"/>
  <c r="M6" i="7"/>
  <c r="M7" i="7"/>
  <c r="L8" i="2"/>
  <c r="M8" i="7"/>
  <c r="M9" i="7"/>
  <c r="M21" i="7"/>
  <c r="M32" i="7"/>
  <c r="M20" i="2"/>
  <c r="M23" i="2"/>
  <c r="M24" i="2"/>
  <c r="M26" i="2"/>
  <c r="N12" i="7"/>
  <c r="N5" i="7"/>
  <c r="N6" i="7"/>
  <c r="N7" i="7"/>
  <c r="M8" i="2"/>
  <c r="N8" i="7"/>
  <c r="N9" i="7"/>
  <c r="N21" i="7"/>
  <c r="N32" i="7"/>
  <c r="B23" i="2"/>
  <c r="B26" i="2"/>
  <c r="C12" i="7"/>
  <c r="C5" i="7"/>
  <c r="C6" i="7"/>
  <c r="C7" i="7"/>
  <c r="B8" i="2"/>
  <c r="C8" i="7"/>
  <c r="C9" i="7"/>
  <c r="C21" i="7"/>
  <c r="C32" i="7"/>
  <c r="D11" i="7"/>
  <c r="D20" i="7"/>
  <c r="D31" i="7"/>
  <c r="E11" i="7"/>
  <c r="E20" i="7"/>
  <c r="E31" i="7"/>
  <c r="F11" i="7"/>
  <c r="F20" i="7"/>
  <c r="F31" i="7"/>
  <c r="G11" i="7"/>
  <c r="G20" i="7"/>
  <c r="G31" i="7"/>
  <c r="H11" i="7"/>
  <c r="H20" i="7"/>
  <c r="H31" i="7"/>
  <c r="I11" i="7"/>
  <c r="I20" i="7"/>
  <c r="I31" i="7"/>
  <c r="J11" i="7"/>
  <c r="J20" i="7"/>
  <c r="J31" i="7"/>
  <c r="K11" i="7"/>
  <c r="K20" i="7"/>
  <c r="K31" i="7"/>
  <c r="L11" i="7"/>
  <c r="L20" i="7"/>
  <c r="L31" i="7"/>
  <c r="M11" i="7"/>
  <c r="M20" i="7"/>
  <c r="M31" i="7"/>
  <c r="N11" i="7"/>
  <c r="N20" i="7"/>
  <c r="N31" i="7"/>
  <c r="C11" i="7"/>
  <c r="C20" i="7"/>
  <c r="C31" i="7"/>
  <c r="D10" i="7"/>
  <c r="D19" i="7"/>
  <c r="D30" i="7"/>
  <c r="E10" i="7"/>
  <c r="E19" i="7"/>
  <c r="E30" i="7"/>
  <c r="F10" i="7"/>
  <c r="F19" i="7"/>
  <c r="F30" i="7"/>
  <c r="G10" i="7"/>
  <c r="G19" i="7"/>
  <c r="G30" i="7"/>
  <c r="H10" i="7"/>
  <c r="H19" i="7"/>
  <c r="H30" i="7"/>
  <c r="I10" i="7"/>
  <c r="I19" i="7"/>
  <c r="I30" i="7"/>
  <c r="J10" i="7"/>
  <c r="J19" i="7"/>
  <c r="J30" i="7"/>
  <c r="K10" i="7"/>
  <c r="K19" i="7"/>
  <c r="K30" i="7"/>
  <c r="L10" i="7"/>
  <c r="L19" i="7"/>
  <c r="L30" i="7"/>
  <c r="M10" i="7"/>
  <c r="M19" i="7"/>
  <c r="M30" i="7"/>
  <c r="N10" i="7"/>
  <c r="N19" i="7"/>
  <c r="N30" i="7"/>
  <c r="C10" i="7"/>
  <c r="C19" i="7"/>
  <c r="C30" i="7"/>
  <c r="D18" i="7"/>
  <c r="D27" i="7"/>
  <c r="E18" i="7"/>
  <c r="E27" i="7"/>
  <c r="F18" i="7"/>
  <c r="F27" i="7"/>
  <c r="G18" i="7"/>
  <c r="G27" i="7"/>
  <c r="H18" i="7"/>
  <c r="H27" i="7"/>
  <c r="I18" i="7"/>
  <c r="I27" i="7"/>
  <c r="J18" i="7"/>
  <c r="J27" i="7"/>
  <c r="K18" i="7"/>
  <c r="K27" i="7"/>
  <c r="L18" i="7"/>
  <c r="L27" i="7"/>
  <c r="M18" i="7"/>
  <c r="M27" i="7"/>
  <c r="N18" i="7"/>
  <c r="N27" i="7"/>
  <c r="C18" i="7"/>
  <c r="C27" i="7"/>
  <c r="D17" i="7"/>
  <c r="D26" i="7"/>
  <c r="E17" i="7"/>
  <c r="E26" i="7"/>
  <c r="F17" i="7"/>
  <c r="F26" i="7"/>
  <c r="G17" i="7"/>
  <c r="G26" i="7"/>
  <c r="H17" i="7"/>
  <c r="H26" i="7"/>
  <c r="I17" i="7"/>
  <c r="I26" i="7"/>
  <c r="J17" i="7"/>
  <c r="J26" i="7"/>
  <c r="K17" i="7"/>
  <c r="K26" i="7"/>
  <c r="L17" i="7"/>
  <c r="L26" i="7"/>
  <c r="M17" i="7"/>
  <c r="M26" i="7"/>
  <c r="N17" i="7"/>
  <c r="N26" i="7"/>
  <c r="C17" i="7"/>
  <c r="C26" i="7"/>
  <c r="D16" i="7"/>
  <c r="D25" i="7"/>
  <c r="E16" i="7"/>
  <c r="E25" i="7"/>
  <c r="F16" i="7"/>
  <c r="F25" i="7"/>
  <c r="G16" i="7"/>
  <c r="G25" i="7"/>
  <c r="H16" i="7"/>
  <c r="H25" i="7"/>
  <c r="I16" i="7"/>
  <c r="I25" i="7"/>
  <c r="J16" i="7"/>
  <c r="J25" i="7"/>
  <c r="K16" i="7"/>
  <c r="K25" i="7"/>
  <c r="L16" i="7"/>
  <c r="L25" i="7"/>
  <c r="M16" i="7"/>
  <c r="M25" i="7"/>
  <c r="N16" i="7"/>
  <c r="N25" i="7"/>
  <c r="C16" i="7"/>
  <c r="C25" i="7"/>
  <c r="D15" i="7"/>
  <c r="D24" i="7"/>
  <c r="E15" i="7"/>
  <c r="E24" i="7"/>
  <c r="F15" i="7"/>
  <c r="F24" i="7"/>
  <c r="G15" i="7"/>
  <c r="G24" i="7"/>
  <c r="H15" i="7"/>
  <c r="H24" i="7"/>
  <c r="I15" i="7"/>
  <c r="I24" i="7"/>
  <c r="J15" i="7"/>
  <c r="J24" i="7"/>
  <c r="K15" i="7"/>
  <c r="K24" i="7"/>
  <c r="L15" i="7"/>
  <c r="L24" i="7"/>
  <c r="M15" i="7"/>
  <c r="M24" i="7"/>
  <c r="N15" i="7"/>
  <c r="N24" i="7"/>
  <c r="C15" i="7"/>
  <c r="C24" i="7"/>
  <c r="C31" i="2"/>
  <c r="C33" i="2"/>
  <c r="C34" i="2"/>
  <c r="C46" i="2"/>
  <c r="D40" i="7"/>
  <c r="D31" i="2"/>
  <c r="D33" i="2"/>
  <c r="D34" i="2"/>
  <c r="D46" i="2"/>
  <c r="E40" i="7"/>
  <c r="E31" i="2"/>
  <c r="E33" i="2"/>
  <c r="E34" i="2"/>
  <c r="E46" i="2"/>
  <c r="F40" i="7"/>
  <c r="F31" i="2"/>
  <c r="F33" i="2"/>
  <c r="F34" i="2"/>
  <c r="F46" i="2"/>
  <c r="G40" i="7"/>
  <c r="G46" i="2"/>
  <c r="H40" i="7"/>
  <c r="H31" i="2"/>
  <c r="H33" i="2"/>
  <c r="H34" i="2"/>
  <c r="H46" i="2"/>
  <c r="I40" i="7"/>
  <c r="I46" i="2"/>
  <c r="J40" i="7"/>
  <c r="J32" i="2"/>
  <c r="J31" i="2"/>
  <c r="J33" i="2"/>
  <c r="J34" i="2"/>
  <c r="J46" i="2"/>
  <c r="K40" i="7"/>
  <c r="K32" i="2"/>
  <c r="K31" i="2"/>
  <c r="K33" i="2"/>
  <c r="K34" i="2"/>
  <c r="K46" i="2"/>
  <c r="L40" i="7"/>
  <c r="L32" i="2"/>
  <c r="L31" i="2"/>
  <c r="L33" i="2"/>
  <c r="L34" i="2"/>
  <c r="L46" i="2"/>
  <c r="M40" i="7"/>
  <c r="M32" i="2"/>
  <c r="M33" i="2"/>
  <c r="M34" i="2"/>
  <c r="M46" i="2"/>
  <c r="N40" i="7"/>
  <c r="D39" i="7"/>
  <c r="E39" i="7"/>
  <c r="F39" i="7"/>
  <c r="G39" i="7"/>
  <c r="H39" i="7"/>
  <c r="I39" i="7"/>
  <c r="J39" i="7"/>
  <c r="K39" i="7"/>
  <c r="L39" i="7"/>
  <c r="M39" i="7"/>
  <c r="N39" i="7"/>
  <c r="C44" i="2"/>
  <c r="D38" i="7"/>
  <c r="D44" i="2"/>
  <c r="E38" i="7"/>
  <c r="E44" i="2"/>
  <c r="F38" i="7"/>
  <c r="F44" i="2"/>
  <c r="G38" i="7"/>
  <c r="G44" i="2"/>
  <c r="H38" i="7"/>
  <c r="H44" i="2"/>
  <c r="I38" i="7"/>
  <c r="I44" i="2"/>
  <c r="J38" i="7"/>
  <c r="J44" i="2"/>
  <c r="K38" i="7"/>
  <c r="K44" i="2"/>
  <c r="L38" i="7"/>
  <c r="L44" i="2"/>
  <c r="M38" i="7"/>
  <c r="M44" i="2"/>
  <c r="N38" i="7"/>
  <c r="C43" i="2"/>
  <c r="D37" i="7"/>
  <c r="D43" i="2"/>
  <c r="E37" i="7"/>
  <c r="E43" i="2"/>
  <c r="F37" i="7"/>
  <c r="F43" i="2"/>
  <c r="G37" i="7"/>
  <c r="G43" i="2"/>
  <c r="H37" i="7"/>
  <c r="H43" i="2"/>
  <c r="I37" i="7"/>
  <c r="I43" i="2"/>
  <c r="J37" i="7"/>
  <c r="J43" i="2"/>
  <c r="K37" i="7"/>
  <c r="K43" i="2"/>
  <c r="L37" i="7"/>
  <c r="L43" i="2"/>
  <c r="M37" i="7"/>
  <c r="M43" i="2"/>
  <c r="N37" i="7"/>
  <c r="B43" i="2"/>
  <c r="C37" i="7"/>
  <c r="C38" i="7"/>
  <c r="C39" i="7"/>
  <c r="B46" i="2"/>
  <c r="C40" i="7"/>
  <c r="C42" i="2"/>
  <c r="D36" i="7"/>
  <c r="D42" i="2"/>
  <c r="E36" i="7"/>
  <c r="E42" i="2"/>
  <c r="F36" i="7"/>
  <c r="F42" i="2"/>
  <c r="G36" i="7"/>
  <c r="G42" i="2"/>
  <c r="H36" i="7"/>
  <c r="H42" i="2"/>
  <c r="I36" i="7"/>
  <c r="I42" i="2"/>
  <c r="J36" i="7"/>
  <c r="J42" i="2"/>
  <c r="K36" i="7"/>
  <c r="K42" i="2"/>
  <c r="L36" i="7"/>
  <c r="L42" i="2"/>
  <c r="M36" i="7"/>
  <c r="M42" i="2"/>
  <c r="N36" i="7"/>
  <c r="C36" i="7"/>
  <c r="C41" i="2"/>
  <c r="D35" i="7"/>
  <c r="D41" i="2"/>
  <c r="E35" i="7"/>
  <c r="E41" i="2"/>
  <c r="F35" i="7"/>
  <c r="F41" i="2"/>
  <c r="G35" i="7"/>
  <c r="G41" i="2"/>
  <c r="H35" i="7"/>
  <c r="H41" i="2"/>
  <c r="I35" i="7"/>
  <c r="I41" i="2"/>
  <c r="J35" i="7"/>
  <c r="J41" i="2"/>
  <c r="K35" i="7"/>
  <c r="K41" i="2"/>
  <c r="L35" i="7"/>
  <c r="L41" i="2"/>
  <c r="M35" i="7"/>
  <c r="M41" i="2"/>
  <c r="N35" i="7"/>
  <c r="C35" i="7"/>
  <c r="J30" i="2"/>
  <c r="K30" i="2"/>
  <c r="L30" i="2"/>
  <c r="M30" i="2"/>
  <c r="H200" i="4"/>
  <c r="C200" i="4"/>
  <c r="C199" i="4"/>
  <c r="E199" i="4"/>
  <c r="F199" i="4"/>
  <c r="G199" i="4"/>
  <c r="H199" i="4"/>
  <c r="H201" i="4"/>
  <c r="H202" i="4"/>
  <c r="G200" i="4"/>
  <c r="C179" i="4"/>
  <c r="B16" i="2"/>
  <c r="B12" i="2"/>
  <c r="B13" i="2"/>
  <c r="B14" i="2"/>
  <c r="B15" i="2"/>
  <c r="B17" i="2"/>
  <c r="I192" i="4"/>
  <c r="J192" i="4"/>
  <c r="C12" i="2"/>
  <c r="C13" i="2"/>
  <c r="C14" i="2"/>
  <c r="C15" i="2"/>
  <c r="C16" i="2"/>
  <c r="C17" i="2"/>
  <c r="D12" i="2"/>
  <c r="D13" i="2"/>
  <c r="D14" i="2"/>
  <c r="D15" i="2"/>
  <c r="D16" i="2"/>
  <c r="D17" i="2"/>
  <c r="E12" i="2"/>
  <c r="E13" i="2"/>
  <c r="E14" i="2"/>
  <c r="E15" i="2"/>
  <c r="E16" i="2"/>
  <c r="E17" i="2"/>
  <c r="F12" i="2"/>
  <c r="F13" i="2"/>
  <c r="F14" i="2"/>
  <c r="F15" i="2"/>
  <c r="F16" i="2"/>
  <c r="F17" i="2"/>
  <c r="G12" i="2"/>
  <c r="G13" i="2"/>
  <c r="G14" i="2"/>
  <c r="G15" i="2"/>
  <c r="G16" i="2"/>
  <c r="G17" i="2"/>
  <c r="H12" i="2"/>
  <c r="H13" i="2"/>
  <c r="H14" i="2"/>
  <c r="H15" i="2"/>
  <c r="H16" i="2"/>
  <c r="H17" i="2"/>
  <c r="I12" i="2"/>
  <c r="I13" i="2"/>
  <c r="I14" i="2"/>
  <c r="I15" i="2"/>
  <c r="I16" i="2"/>
  <c r="I17" i="2"/>
  <c r="J12" i="2"/>
  <c r="J13" i="2"/>
  <c r="J14" i="2"/>
  <c r="J15" i="2"/>
  <c r="J16" i="2"/>
  <c r="J17" i="2"/>
  <c r="K12" i="2"/>
  <c r="K13" i="2"/>
  <c r="K14" i="2"/>
  <c r="K15" i="2"/>
  <c r="K16" i="2"/>
  <c r="K17" i="2"/>
  <c r="L12" i="2"/>
  <c r="L13" i="2"/>
  <c r="L14" i="2"/>
  <c r="L15" i="2"/>
  <c r="L16" i="2"/>
  <c r="L17" i="2"/>
  <c r="M12" i="2"/>
  <c r="M13" i="2"/>
  <c r="M14" i="2"/>
  <c r="M15" i="2"/>
  <c r="M16" i="2"/>
  <c r="M17" i="2"/>
  <c r="D202" i="4"/>
  <c r="E202" i="4"/>
  <c r="F202" i="4"/>
  <c r="G202" i="4"/>
  <c r="I198" i="4"/>
  <c r="I202" i="4"/>
  <c r="J198" i="4"/>
  <c r="J202" i="4"/>
  <c r="K198" i="4"/>
  <c r="K202" i="4"/>
  <c r="L198" i="4"/>
  <c r="L202" i="4"/>
  <c r="M198" i="4"/>
  <c r="M202" i="4"/>
  <c r="N198" i="4"/>
  <c r="N202" i="4"/>
  <c r="C202" i="4"/>
  <c r="K192" i="4"/>
  <c r="K184" i="4"/>
  <c r="L184" i="4"/>
  <c r="M184" i="4"/>
  <c r="N184" i="4"/>
  <c r="J184" i="4"/>
  <c r="K183" i="4"/>
  <c r="L183" i="4"/>
  <c r="M183" i="4"/>
  <c r="N183" i="4"/>
  <c r="J183" i="4"/>
  <c r="K182" i="4"/>
  <c r="L182" i="4"/>
  <c r="M182" i="4"/>
  <c r="N182" i="4"/>
  <c r="J182" i="4"/>
  <c r="I185" i="4"/>
  <c r="F190" i="4"/>
  <c r="F198" i="4"/>
  <c r="F177" i="4"/>
  <c r="F179" i="4"/>
  <c r="F178" i="4"/>
  <c r="G190" i="4"/>
  <c r="G198" i="4"/>
  <c r="G177" i="4"/>
  <c r="G179" i="4"/>
  <c r="G178" i="4"/>
  <c r="H190" i="4"/>
  <c r="H198" i="4"/>
  <c r="H177" i="4"/>
  <c r="H179" i="4"/>
  <c r="H178" i="4"/>
  <c r="I178" i="4"/>
  <c r="I187" i="4"/>
  <c r="J185" i="4"/>
  <c r="J187" i="4"/>
  <c r="K185" i="4"/>
  <c r="K187" i="4"/>
  <c r="L185" i="4"/>
  <c r="L187" i="4"/>
  <c r="M185" i="4"/>
  <c r="M187" i="4"/>
  <c r="N185" i="4"/>
  <c r="N187" i="4"/>
  <c r="L130" i="4"/>
  <c r="M130" i="4"/>
  <c r="N130" i="4"/>
  <c r="K130" i="4"/>
  <c r="F126" i="4"/>
  <c r="F128" i="4"/>
  <c r="F127" i="4"/>
  <c r="G126" i="4"/>
  <c r="G128" i="4"/>
  <c r="G127" i="4"/>
  <c r="H126" i="4"/>
  <c r="H128" i="4"/>
  <c r="H127" i="4"/>
  <c r="I127" i="4"/>
  <c r="J117" i="4"/>
  <c r="I117" i="4"/>
  <c r="I91" i="4"/>
  <c r="I85" i="4"/>
  <c r="I80" i="4"/>
  <c r="L73" i="4"/>
  <c r="M73" i="4"/>
  <c r="N73" i="4"/>
  <c r="K73" i="4"/>
  <c r="I133" i="4"/>
  <c r="I136" i="4"/>
  <c r="J133" i="4"/>
  <c r="J136" i="4"/>
  <c r="H139" i="4"/>
  <c r="H142" i="4"/>
  <c r="H143" i="4"/>
  <c r="I143" i="4"/>
  <c r="J143" i="4"/>
  <c r="I163" i="4"/>
  <c r="J163" i="4"/>
  <c r="I168" i="4"/>
  <c r="J168" i="4"/>
  <c r="I173" i="4"/>
  <c r="J173" i="4"/>
  <c r="F176" i="4"/>
  <c r="F16" i="4"/>
  <c r="F21" i="4"/>
  <c r="F24" i="4"/>
  <c r="F28" i="4"/>
  <c r="F54" i="4"/>
  <c r="F67" i="4"/>
  <c r="F125" i="4"/>
  <c r="G176" i="4"/>
  <c r="G16" i="4"/>
  <c r="G21" i="4"/>
  <c r="G24" i="4"/>
  <c r="G28" i="4"/>
  <c r="G54" i="4"/>
  <c r="G67" i="4"/>
  <c r="G125" i="4"/>
  <c r="H176" i="4"/>
  <c r="H16" i="4"/>
  <c r="H21" i="4"/>
  <c r="H24" i="4"/>
  <c r="H28" i="4"/>
  <c r="H54" i="4"/>
  <c r="H67" i="4"/>
  <c r="H125" i="4"/>
  <c r="J178" i="4"/>
  <c r="D176" i="4"/>
  <c r="D16" i="4"/>
  <c r="D21" i="4"/>
  <c r="D24" i="4"/>
  <c r="D28" i="4"/>
  <c r="D54" i="4"/>
  <c r="D67" i="4"/>
  <c r="C176" i="4"/>
  <c r="C16" i="4"/>
  <c r="C21" i="4"/>
  <c r="C24" i="4"/>
  <c r="C28" i="4"/>
  <c r="C54" i="4"/>
  <c r="C67" i="4"/>
  <c r="C125" i="4"/>
  <c r="C198" i="4"/>
  <c r="C177" i="4"/>
  <c r="D139" i="4"/>
  <c r="D142" i="4"/>
  <c r="D143" i="4"/>
  <c r="D149" i="4"/>
  <c r="D154" i="4"/>
  <c r="D155" i="4"/>
  <c r="D172" i="4"/>
  <c r="E139" i="4"/>
  <c r="E142" i="4"/>
  <c r="E143" i="4"/>
  <c r="E149" i="4"/>
  <c r="E176" i="4"/>
  <c r="E154" i="4"/>
  <c r="E155" i="4"/>
  <c r="E172" i="4"/>
  <c r="F139" i="4"/>
  <c r="F142" i="4"/>
  <c r="F143" i="4"/>
  <c r="F149" i="4"/>
  <c r="F154" i="4"/>
  <c r="F155" i="4"/>
  <c r="F172" i="4"/>
  <c r="G139" i="4"/>
  <c r="G142" i="4"/>
  <c r="G143" i="4"/>
  <c r="G149" i="4"/>
  <c r="G154" i="4"/>
  <c r="G155" i="4"/>
  <c r="G172" i="4"/>
  <c r="H149" i="4"/>
  <c r="H154" i="4"/>
  <c r="H155" i="4"/>
  <c r="H172" i="4"/>
  <c r="I149" i="4"/>
  <c r="I154" i="4"/>
  <c r="I155" i="4"/>
  <c r="I172" i="4"/>
  <c r="J149" i="4"/>
  <c r="J154" i="4"/>
  <c r="J155" i="4"/>
  <c r="J172" i="4"/>
  <c r="K131" i="4"/>
  <c r="K133" i="4"/>
  <c r="K173" i="4"/>
  <c r="K144" i="4"/>
  <c r="K143" i="4"/>
  <c r="K149" i="4"/>
  <c r="K136" i="4"/>
  <c r="K163" i="4"/>
  <c r="K168" i="4"/>
  <c r="K154" i="4"/>
  <c r="K155" i="4"/>
  <c r="K172" i="4"/>
  <c r="L131" i="4"/>
  <c r="L133" i="4"/>
  <c r="L173" i="4"/>
  <c r="L144" i="4"/>
  <c r="L143" i="4"/>
  <c r="L149" i="4"/>
  <c r="L136" i="4"/>
  <c r="L163" i="4"/>
  <c r="L168" i="4"/>
  <c r="L154" i="4"/>
  <c r="L155" i="4"/>
  <c r="L172" i="4"/>
  <c r="M131" i="4"/>
  <c r="M133" i="4"/>
  <c r="M173" i="4"/>
  <c r="M144" i="4"/>
  <c r="M143" i="4"/>
  <c r="M149" i="4"/>
  <c r="M136" i="4"/>
  <c r="M163" i="4"/>
  <c r="M168" i="4"/>
  <c r="M154" i="4"/>
  <c r="M155" i="4"/>
  <c r="M172" i="4"/>
  <c r="N131" i="4"/>
  <c r="N133" i="4"/>
  <c r="N173" i="4"/>
  <c r="N144" i="4"/>
  <c r="N143" i="4"/>
  <c r="N149" i="4"/>
  <c r="N136" i="4"/>
  <c r="N163" i="4"/>
  <c r="N168" i="4"/>
  <c r="N154" i="4"/>
  <c r="N155" i="4"/>
  <c r="N172" i="4"/>
  <c r="C149" i="4"/>
  <c r="C154" i="4"/>
  <c r="C155" i="4"/>
  <c r="C172" i="4"/>
  <c r="E174" i="4"/>
  <c r="F174" i="4"/>
  <c r="G174" i="4"/>
  <c r="H174" i="4"/>
  <c r="I174" i="4"/>
  <c r="J174" i="4"/>
  <c r="K174" i="4"/>
  <c r="L174" i="4"/>
  <c r="M174" i="4"/>
  <c r="N174" i="4"/>
  <c r="D174" i="4"/>
  <c r="E152" i="4"/>
  <c r="E153" i="4"/>
  <c r="E167" i="4"/>
  <c r="D152" i="4"/>
  <c r="D153" i="4"/>
  <c r="D167" i="4"/>
  <c r="E169" i="4"/>
  <c r="F152" i="4"/>
  <c r="F153" i="4"/>
  <c r="F167" i="4"/>
  <c r="F169" i="4"/>
  <c r="G152" i="4"/>
  <c r="G153" i="4"/>
  <c r="G167" i="4"/>
  <c r="G169" i="4"/>
  <c r="H152" i="4"/>
  <c r="H153" i="4"/>
  <c r="H167" i="4"/>
  <c r="H169" i="4"/>
  <c r="I152" i="4"/>
  <c r="I153" i="4"/>
  <c r="I167" i="4"/>
  <c r="I169" i="4"/>
  <c r="J152" i="4"/>
  <c r="J153" i="4"/>
  <c r="J167" i="4"/>
  <c r="J169" i="4"/>
  <c r="K152" i="4"/>
  <c r="K153" i="4"/>
  <c r="K167" i="4"/>
  <c r="K169" i="4"/>
  <c r="L152" i="4"/>
  <c r="L153" i="4"/>
  <c r="L167" i="4"/>
  <c r="L169" i="4"/>
  <c r="M152" i="4"/>
  <c r="M153" i="4"/>
  <c r="M167" i="4"/>
  <c r="M169" i="4"/>
  <c r="N152" i="4"/>
  <c r="N153" i="4"/>
  <c r="N167" i="4"/>
  <c r="N169" i="4"/>
  <c r="C152" i="4"/>
  <c r="C153" i="4"/>
  <c r="C167" i="4"/>
  <c r="D169" i="4"/>
  <c r="E150" i="4"/>
  <c r="E151" i="4"/>
  <c r="E162" i="4"/>
  <c r="D150" i="4"/>
  <c r="D151" i="4"/>
  <c r="D162" i="4"/>
  <c r="E164" i="4"/>
  <c r="F150" i="4"/>
  <c r="F151" i="4"/>
  <c r="F162" i="4"/>
  <c r="F164" i="4"/>
  <c r="G150" i="4"/>
  <c r="G151" i="4"/>
  <c r="G162" i="4"/>
  <c r="G164" i="4"/>
  <c r="H150" i="4"/>
  <c r="H151" i="4"/>
  <c r="H162" i="4"/>
  <c r="H164" i="4"/>
  <c r="I150" i="4"/>
  <c r="I151" i="4"/>
  <c r="I162" i="4"/>
  <c r="I164" i="4"/>
  <c r="J150" i="4"/>
  <c r="J151" i="4"/>
  <c r="J162" i="4"/>
  <c r="J164" i="4"/>
  <c r="K150" i="4"/>
  <c r="K151" i="4"/>
  <c r="K162" i="4"/>
  <c r="K164" i="4"/>
  <c r="L150" i="4"/>
  <c r="L151" i="4"/>
  <c r="L162" i="4"/>
  <c r="L164" i="4"/>
  <c r="M150" i="4"/>
  <c r="M151" i="4"/>
  <c r="M162" i="4"/>
  <c r="M164" i="4"/>
  <c r="N150" i="4"/>
  <c r="N151" i="4"/>
  <c r="N162" i="4"/>
  <c r="N164" i="4"/>
  <c r="C150" i="4"/>
  <c r="C151" i="4"/>
  <c r="C162" i="4"/>
  <c r="D164" i="4"/>
  <c r="E81" i="4"/>
  <c r="E86" i="4"/>
  <c r="E89" i="4"/>
  <c r="E125" i="4"/>
  <c r="E101" i="4"/>
  <c r="E102" i="4"/>
  <c r="E121" i="4"/>
  <c r="D81" i="4"/>
  <c r="D86" i="4"/>
  <c r="D89" i="4"/>
  <c r="D96" i="4"/>
  <c r="D101" i="4"/>
  <c r="D102" i="4"/>
  <c r="D121" i="4"/>
  <c r="E123" i="4"/>
  <c r="F81" i="4"/>
  <c r="F86" i="4"/>
  <c r="F89" i="4"/>
  <c r="F96" i="4"/>
  <c r="F101" i="4"/>
  <c r="F102" i="4"/>
  <c r="F121" i="4"/>
  <c r="F123" i="4"/>
  <c r="G81" i="4"/>
  <c r="G86" i="4"/>
  <c r="G89" i="4"/>
  <c r="G96" i="4"/>
  <c r="G101" i="4"/>
  <c r="G102" i="4"/>
  <c r="G121" i="4"/>
  <c r="G123" i="4"/>
  <c r="H81" i="4"/>
  <c r="H86" i="4"/>
  <c r="H89" i="4"/>
  <c r="H90" i="4"/>
  <c r="H96" i="4"/>
  <c r="H101" i="4"/>
  <c r="H102" i="4"/>
  <c r="H121" i="4"/>
  <c r="H123" i="4"/>
  <c r="I75" i="4"/>
  <c r="I122" i="4"/>
  <c r="I90" i="4"/>
  <c r="I96" i="4"/>
  <c r="I78" i="4"/>
  <c r="I81" i="4"/>
  <c r="I83" i="4"/>
  <c r="I86" i="4"/>
  <c r="I89" i="4"/>
  <c r="I93" i="4"/>
  <c r="I112" i="4"/>
  <c r="I125" i="4"/>
  <c r="I101" i="4"/>
  <c r="I102" i="4"/>
  <c r="I121" i="4"/>
  <c r="I123" i="4"/>
  <c r="J75" i="4"/>
  <c r="J122" i="4"/>
  <c r="J91" i="4"/>
  <c r="J90" i="4"/>
  <c r="J96" i="4"/>
  <c r="J78" i="4"/>
  <c r="J83" i="4"/>
  <c r="I20" i="4"/>
  <c r="J85" i="4"/>
  <c r="J86" i="4"/>
  <c r="J112" i="4"/>
  <c r="J101" i="4"/>
  <c r="J102" i="4"/>
  <c r="J121" i="4"/>
  <c r="J123" i="4"/>
  <c r="K72" i="4"/>
  <c r="K75" i="4"/>
  <c r="K122" i="4"/>
  <c r="K91" i="4"/>
  <c r="K90" i="4"/>
  <c r="K96" i="4"/>
  <c r="K78" i="4"/>
  <c r="K83" i="4"/>
  <c r="K85" i="4"/>
  <c r="K86" i="4"/>
  <c r="K112" i="4"/>
  <c r="K117" i="4"/>
  <c r="K101" i="4"/>
  <c r="K102" i="4"/>
  <c r="K121" i="4"/>
  <c r="K123" i="4"/>
  <c r="L72" i="4"/>
  <c r="L75" i="4"/>
  <c r="L122" i="4"/>
  <c r="L91" i="4"/>
  <c r="L90" i="4"/>
  <c r="L96" i="4"/>
  <c r="L78" i="4"/>
  <c r="L83" i="4"/>
  <c r="L85" i="4"/>
  <c r="L86" i="4"/>
  <c r="L112" i="4"/>
  <c r="L117" i="4"/>
  <c r="L101" i="4"/>
  <c r="L102" i="4"/>
  <c r="L121" i="4"/>
  <c r="L123" i="4"/>
  <c r="M72" i="4"/>
  <c r="M75" i="4"/>
  <c r="M122" i="4"/>
  <c r="M91" i="4"/>
  <c r="M90" i="4"/>
  <c r="M96" i="4"/>
  <c r="M78" i="4"/>
  <c r="M83" i="4"/>
  <c r="M85" i="4"/>
  <c r="M86" i="4"/>
  <c r="M112" i="4"/>
  <c r="M117" i="4"/>
  <c r="M101" i="4"/>
  <c r="M102" i="4"/>
  <c r="M121" i="4"/>
  <c r="M123" i="4"/>
  <c r="N72" i="4"/>
  <c r="N75" i="4"/>
  <c r="N122" i="4"/>
  <c r="N91" i="4"/>
  <c r="N90" i="4"/>
  <c r="N96" i="4"/>
  <c r="N78" i="4"/>
  <c r="N83" i="4"/>
  <c r="N85" i="4"/>
  <c r="N86" i="4"/>
  <c r="N112" i="4"/>
  <c r="N117" i="4"/>
  <c r="N101" i="4"/>
  <c r="N102" i="4"/>
  <c r="N121" i="4"/>
  <c r="N123" i="4"/>
  <c r="C81" i="4"/>
  <c r="C86" i="4"/>
  <c r="C89" i="4"/>
  <c r="C96" i="4"/>
  <c r="C101" i="4"/>
  <c r="C102" i="4"/>
  <c r="C121" i="4"/>
  <c r="D123" i="4"/>
  <c r="E99" i="4"/>
  <c r="E100" i="4"/>
  <c r="E116" i="4"/>
  <c r="D99" i="4"/>
  <c r="D100" i="4"/>
  <c r="D116" i="4"/>
  <c r="E118" i="4"/>
  <c r="F99" i="4"/>
  <c r="F100" i="4"/>
  <c r="F116" i="4"/>
  <c r="F118" i="4"/>
  <c r="G99" i="4"/>
  <c r="G100" i="4"/>
  <c r="G116" i="4"/>
  <c r="G118" i="4"/>
  <c r="H99" i="4"/>
  <c r="H100" i="4"/>
  <c r="H116" i="4"/>
  <c r="H118" i="4"/>
  <c r="I99" i="4"/>
  <c r="I100" i="4"/>
  <c r="I116" i="4"/>
  <c r="I118" i="4"/>
  <c r="J99" i="4"/>
  <c r="J100" i="4"/>
  <c r="J116" i="4"/>
  <c r="J118" i="4"/>
  <c r="K99" i="4"/>
  <c r="K100" i="4"/>
  <c r="K116" i="4"/>
  <c r="K118" i="4"/>
  <c r="L99" i="4"/>
  <c r="L100" i="4"/>
  <c r="L116" i="4"/>
  <c r="L118" i="4"/>
  <c r="M99" i="4"/>
  <c r="M100" i="4"/>
  <c r="M116" i="4"/>
  <c r="M118" i="4"/>
  <c r="N99" i="4"/>
  <c r="N100" i="4"/>
  <c r="N116" i="4"/>
  <c r="N118" i="4"/>
  <c r="C99" i="4"/>
  <c r="C100" i="4"/>
  <c r="C116" i="4"/>
  <c r="D118" i="4"/>
  <c r="E97" i="4"/>
  <c r="E98" i="4"/>
  <c r="E111" i="4"/>
  <c r="D98" i="4"/>
  <c r="E113" i="4"/>
  <c r="F97" i="4"/>
  <c r="F98" i="4"/>
  <c r="F111" i="4"/>
  <c r="F113" i="4"/>
  <c r="G97" i="4"/>
  <c r="G98" i="4"/>
  <c r="G111" i="4"/>
  <c r="G113" i="4"/>
  <c r="H97" i="4"/>
  <c r="H98" i="4"/>
  <c r="H111" i="4"/>
  <c r="H113" i="4"/>
  <c r="I97" i="4"/>
  <c r="I98" i="4"/>
  <c r="I111" i="4"/>
  <c r="I113" i="4"/>
  <c r="J97" i="4"/>
  <c r="J98" i="4"/>
  <c r="J111" i="4"/>
  <c r="J113" i="4"/>
  <c r="K97" i="4"/>
  <c r="K98" i="4"/>
  <c r="K111" i="4"/>
  <c r="K113" i="4"/>
  <c r="L97" i="4"/>
  <c r="L98" i="4"/>
  <c r="L111" i="4"/>
  <c r="L113" i="4"/>
  <c r="M97" i="4"/>
  <c r="M98" i="4"/>
  <c r="M111" i="4"/>
  <c r="M113" i="4"/>
  <c r="N97" i="4"/>
  <c r="N98" i="4"/>
  <c r="N111" i="4"/>
  <c r="N113" i="4"/>
  <c r="C97" i="4"/>
  <c r="C98" i="4"/>
  <c r="C111" i="4"/>
  <c r="D113" i="4"/>
  <c r="E31" i="4"/>
  <c r="E16" i="4"/>
  <c r="E21" i="4"/>
  <c r="E24" i="4"/>
  <c r="E28" i="4"/>
  <c r="E54" i="4"/>
  <c r="E67" i="4"/>
  <c r="E36" i="4"/>
  <c r="E37" i="4"/>
  <c r="E62" i="4"/>
  <c r="E63" i="4"/>
  <c r="D31" i="4"/>
  <c r="D36" i="4"/>
  <c r="D37" i="4"/>
  <c r="D62" i="4"/>
  <c r="D63" i="4"/>
  <c r="E65" i="4"/>
  <c r="F31" i="4"/>
  <c r="F36" i="4"/>
  <c r="F37" i="4"/>
  <c r="F62" i="4"/>
  <c r="F63" i="4"/>
  <c r="F65" i="4"/>
  <c r="G31" i="4"/>
  <c r="G36" i="4"/>
  <c r="G37" i="4"/>
  <c r="G62" i="4"/>
  <c r="G63" i="4"/>
  <c r="G65" i="4"/>
  <c r="H31" i="4"/>
  <c r="H36" i="4"/>
  <c r="H37" i="4"/>
  <c r="H62" i="4"/>
  <c r="H63" i="4"/>
  <c r="H65" i="4"/>
  <c r="I10" i="4"/>
  <c r="I64" i="4"/>
  <c r="I26" i="4"/>
  <c r="I25" i="4"/>
  <c r="I31" i="4"/>
  <c r="I13" i="4"/>
  <c r="I18" i="4"/>
  <c r="I21" i="4"/>
  <c r="I49" i="4"/>
  <c r="I48" i="4"/>
  <c r="F51" i="4"/>
  <c r="G51" i="4"/>
  <c r="H51" i="4"/>
  <c r="I51" i="4"/>
  <c r="I50" i="4"/>
  <c r="I47" i="4"/>
  <c r="I54" i="4"/>
  <c r="I59" i="4"/>
  <c r="I36" i="4"/>
  <c r="I37" i="4"/>
  <c r="I62" i="4"/>
  <c r="I63" i="4"/>
  <c r="I65" i="4"/>
  <c r="J10" i="4"/>
  <c r="J64" i="4"/>
  <c r="J26" i="4"/>
  <c r="J25" i="4"/>
  <c r="J31" i="4"/>
  <c r="J13" i="4"/>
  <c r="J18" i="4"/>
  <c r="J20" i="4"/>
  <c r="J21" i="4"/>
  <c r="J49" i="4"/>
  <c r="J48" i="4"/>
  <c r="J51" i="4"/>
  <c r="J50" i="4"/>
  <c r="J47" i="4"/>
  <c r="J45" i="4"/>
  <c r="J54" i="4"/>
  <c r="J59" i="4"/>
  <c r="J36" i="4"/>
  <c r="J37" i="4"/>
  <c r="J62" i="4"/>
  <c r="J63" i="4"/>
  <c r="J65" i="4"/>
  <c r="K7" i="4"/>
  <c r="K8" i="4"/>
  <c r="K10" i="4"/>
  <c r="K64" i="4"/>
  <c r="K26" i="4"/>
  <c r="K25" i="4"/>
  <c r="K31" i="4"/>
  <c r="K13" i="4"/>
  <c r="K18" i="4"/>
  <c r="K20" i="4"/>
  <c r="K21" i="4"/>
  <c r="K49" i="4"/>
  <c r="K48" i="4"/>
  <c r="K51" i="4"/>
  <c r="K50" i="4"/>
  <c r="K47" i="4"/>
  <c r="K45" i="4"/>
  <c r="K54" i="4"/>
  <c r="K59" i="4"/>
  <c r="K36" i="4"/>
  <c r="K37" i="4"/>
  <c r="K62" i="4"/>
  <c r="K63" i="4"/>
  <c r="K65" i="4"/>
  <c r="L7" i="4"/>
  <c r="L8" i="4"/>
  <c r="L10" i="4"/>
  <c r="L64" i="4"/>
  <c r="L26" i="4"/>
  <c r="L25" i="4"/>
  <c r="L31" i="4"/>
  <c r="L13" i="4"/>
  <c r="L18" i="4"/>
  <c r="L20" i="4"/>
  <c r="L21" i="4"/>
  <c r="L49" i="4"/>
  <c r="L48" i="4"/>
  <c r="L51" i="4"/>
  <c r="L50" i="4"/>
  <c r="L47" i="4"/>
  <c r="L45" i="4"/>
  <c r="L54" i="4"/>
  <c r="L59" i="4"/>
  <c r="L36" i="4"/>
  <c r="L37" i="4"/>
  <c r="L62" i="4"/>
  <c r="L63" i="4"/>
  <c r="L65" i="4"/>
  <c r="M7" i="4"/>
  <c r="M8" i="4"/>
  <c r="M10" i="4"/>
  <c r="M64" i="4"/>
  <c r="M26" i="4"/>
  <c r="M25" i="4"/>
  <c r="M31" i="4"/>
  <c r="M13" i="4"/>
  <c r="M18" i="4"/>
  <c r="M20" i="4"/>
  <c r="M21" i="4"/>
  <c r="M49" i="4"/>
  <c r="M48" i="4"/>
  <c r="M51" i="4"/>
  <c r="M50" i="4"/>
  <c r="M47" i="4"/>
  <c r="M45" i="4"/>
  <c r="M54" i="4"/>
  <c r="M59" i="4"/>
  <c r="M36" i="4"/>
  <c r="M37" i="4"/>
  <c r="M62" i="4"/>
  <c r="M63" i="4"/>
  <c r="M65" i="4"/>
  <c r="N7" i="4"/>
  <c r="N8" i="4"/>
  <c r="N10" i="4"/>
  <c r="N64" i="4"/>
  <c r="N26" i="4"/>
  <c r="N25" i="4"/>
  <c r="N31" i="4"/>
  <c r="N13" i="4"/>
  <c r="N18" i="4"/>
  <c r="N20" i="4"/>
  <c r="N21" i="4"/>
  <c r="N49" i="4"/>
  <c r="N48" i="4"/>
  <c r="N51" i="4"/>
  <c r="N50" i="4"/>
  <c r="N47" i="4"/>
  <c r="N45" i="4"/>
  <c r="N54" i="4"/>
  <c r="N59" i="4"/>
  <c r="N36" i="4"/>
  <c r="N37" i="4"/>
  <c r="N62" i="4"/>
  <c r="N63" i="4"/>
  <c r="N65" i="4"/>
  <c r="C31" i="4"/>
  <c r="C62" i="4"/>
  <c r="C63" i="4"/>
  <c r="D65" i="4"/>
  <c r="E34" i="4"/>
  <c r="E35" i="4"/>
  <c r="E57" i="4"/>
  <c r="E58" i="4"/>
  <c r="D34" i="4"/>
  <c r="D35" i="4"/>
  <c r="D57" i="4"/>
  <c r="D58" i="4"/>
  <c r="E60" i="4"/>
  <c r="F34" i="4"/>
  <c r="F35" i="4"/>
  <c r="F57" i="4"/>
  <c r="F58" i="4"/>
  <c r="F60" i="4"/>
  <c r="G34" i="4"/>
  <c r="G35" i="4"/>
  <c r="G57" i="4"/>
  <c r="G58" i="4"/>
  <c r="G60" i="4"/>
  <c r="H34" i="4"/>
  <c r="H35" i="4"/>
  <c r="H57" i="4"/>
  <c r="H58" i="4"/>
  <c r="H60" i="4"/>
  <c r="I34" i="4"/>
  <c r="I35" i="4"/>
  <c r="I57" i="4"/>
  <c r="I58" i="4"/>
  <c r="I60" i="4"/>
  <c r="J34" i="4"/>
  <c r="J35" i="4"/>
  <c r="J57" i="4"/>
  <c r="J58" i="4"/>
  <c r="J60" i="4"/>
  <c r="K34" i="4"/>
  <c r="K35" i="4"/>
  <c r="K57" i="4"/>
  <c r="K58" i="4"/>
  <c r="K60" i="4"/>
  <c r="L34" i="4"/>
  <c r="L35" i="4"/>
  <c r="L57" i="4"/>
  <c r="L58" i="4"/>
  <c r="L60" i="4"/>
  <c r="M34" i="4"/>
  <c r="M35" i="4"/>
  <c r="M57" i="4"/>
  <c r="M58" i="4"/>
  <c r="M60" i="4"/>
  <c r="N34" i="4"/>
  <c r="N35" i="4"/>
  <c r="N57" i="4"/>
  <c r="N58" i="4"/>
  <c r="N60" i="4"/>
  <c r="E32" i="4"/>
  <c r="E33" i="4"/>
  <c r="E52" i="4"/>
  <c r="E53" i="4"/>
  <c r="D32" i="4"/>
  <c r="D33" i="4"/>
  <c r="D52" i="4"/>
  <c r="D53" i="4"/>
  <c r="E55" i="4"/>
  <c r="F32" i="4"/>
  <c r="F33" i="4"/>
  <c r="F52" i="4"/>
  <c r="F53" i="4"/>
  <c r="F55" i="4"/>
  <c r="G32" i="4"/>
  <c r="G33" i="4"/>
  <c r="G52" i="4"/>
  <c r="G53" i="4"/>
  <c r="G55" i="4"/>
  <c r="H32" i="4"/>
  <c r="H33" i="4"/>
  <c r="H52" i="4"/>
  <c r="H53" i="4"/>
  <c r="H55" i="4"/>
  <c r="I32" i="4"/>
  <c r="I33" i="4"/>
  <c r="I52" i="4"/>
  <c r="I53" i="4"/>
  <c r="I55" i="4"/>
  <c r="J32" i="4"/>
  <c r="J33" i="4"/>
  <c r="J52" i="4"/>
  <c r="J53" i="4"/>
  <c r="J55" i="4"/>
  <c r="K32" i="4"/>
  <c r="K33" i="4"/>
  <c r="K52" i="4"/>
  <c r="K53" i="4"/>
  <c r="K55" i="4"/>
  <c r="L32" i="4"/>
  <c r="L33" i="4"/>
  <c r="L52" i="4"/>
  <c r="L53" i="4"/>
  <c r="L55" i="4"/>
  <c r="M32" i="4"/>
  <c r="M33" i="4"/>
  <c r="M52" i="4"/>
  <c r="M53" i="4"/>
  <c r="M55" i="4"/>
  <c r="N32" i="4"/>
  <c r="N33" i="4"/>
  <c r="N52" i="4"/>
  <c r="N53" i="4"/>
  <c r="N55" i="4"/>
  <c r="C52" i="4"/>
  <c r="C53" i="4"/>
  <c r="D55" i="4"/>
  <c r="C55" i="4"/>
  <c r="I42" i="4"/>
  <c r="H42" i="4"/>
  <c r="H43" i="4"/>
  <c r="I43" i="4"/>
  <c r="D201" i="4"/>
  <c r="E198" i="4"/>
  <c r="E68" i="4"/>
  <c r="E70" i="4"/>
  <c r="E126" i="4"/>
  <c r="E128" i="4"/>
  <c r="E177" i="4"/>
  <c r="E179" i="4"/>
  <c r="E201" i="4"/>
  <c r="F68" i="4"/>
  <c r="F70" i="4"/>
  <c r="F191" i="4"/>
  <c r="F193" i="4"/>
  <c r="F201" i="4"/>
  <c r="G68" i="4"/>
  <c r="G70" i="4"/>
  <c r="G191" i="4"/>
  <c r="G193" i="4"/>
  <c r="G201" i="4"/>
  <c r="H68" i="4"/>
  <c r="H70" i="4"/>
  <c r="H191" i="4"/>
  <c r="H193" i="4"/>
  <c r="F69" i="4"/>
  <c r="G69" i="4"/>
  <c r="H69" i="4"/>
  <c r="I69" i="4"/>
  <c r="I128" i="4"/>
  <c r="I190" i="4"/>
  <c r="F192" i="4"/>
  <c r="G192" i="4"/>
  <c r="H192" i="4"/>
  <c r="I193" i="4"/>
  <c r="I201" i="4"/>
  <c r="J69" i="4"/>
  <c r="J127" i="4"/>
  <c r="J190" i="4"/>
  <c r="J193" i="4"/>
  <c r="J201" i="4"/>
  <c r="K178" i="4"/>
  <c r="K69" i="4"/>
  <c r="K127" i="4"/>
  <c r="K190" i="4"/>
  <c r="K193" i="4"/>
  <c r="K201" i="4"/>
  <c r="L178" i="4"/>
  <c r="L69" i="4"/>
  <c r="L127" i="4"/>
  <c r="L190" i="4"/>
  <c r="L193" i="4"/>
  <c r="L201" i="4"/>
  <c r="M178" i="4"/>
  <c r="M69" i="4"/>
  <c r="M127" i="4"/>
  <c r="M190" i="4"/>
  <c r="M193" i="4"/>
  <c r="M201" i="4"/>
  <c r="N178" i="4"/>
  <c r="N69" i="4"/>
  <c r="N127" i="4"/>
  <c r="N190" i="4"/>
  <c r="N193" i="4"/>
  <c r="N201" i="4"/>
  <c r="C68" i="4"/>
  <c r="C70" i="4"/>
  <c r="C126" i="4"/>
  <c r="C128" i="4"/>
  <c r="C201" i="4"/>
  <c r="C178" i="4"/>
  <c r="D178" i="4"/>
  <c r="E178" i="4"/>
  <c r="D69" i="4"/>
  <c r="C127" i="4"/>
  <c r="D127" i="4"/>
  <c r="E127" i="4"/>
  <c r="C69" i="4"/>
  <c r="E69" i="4"/>
  <c r="C191" i="4"/>
  <c r="D191" i="4"/>
  <c r="E191" i="4"/>
  <c r="I191" i="4"/>
  <c r="I126" i="4"/>
  <c r="I177" i="4"/>
  <c r="I68" i="4"/>
  <c r="J191" i="4"/>
  <c r="J126" i="4"/>
  <c r="J177" i="4"/>
  <c r="J68" i="4"/>
  <c r="K191" i="4"/>
  <c r="K126" i="4"/>
  <c r="K177" i="4"/>
  <c r="K68" i="4"/>
  <c r="L191" i="4"/>
  <c r="L126" i="4"/>
  <c r="L177" i="4"/>
  <c r="L68" i="4"/>
  <c r="M191" i="4"/>
  <c r="M126" i="4"/>
  <c r="M177" i="4"/>
  <c r="M68" i="4"/>
  <c r="N191" i="4"/>
  <c r="N126" i="4"/>
  <c r="N177" i="4"/>
  <c r="N68" i="4"/>
  <c r="G188" i="4"/>
  <c r="G185" i="4"/>
  <c r="H188" i="4"/>
  <c r="H185" i="4"/>
  <c r="F188" i="4"/>
  <c r="F185" i="4"/>
  <c r="I188" i="4"/>
  <c r="J188" i="4"/>
  <c r="K188" i="4"/>
  <c r="L188" i="4"/>
  <c r="M188" i="4"/>
  <c r="N188" i="4"/>
  <c r="C174" i="4"/>
  <c r="C169" i="4"/>
  <c r="C164" i="4"/>
  <c r="C144" i="4"/>
  <c r="C139" i="4"/>
  <c r="C158" i="4"/>
  <c r="C159" i="4"/>
  <c r="F158" i="4"/>
  <c r="E158" i="4"/>
  <c r="D158" i="4"/>
  <c r="C141" i="4"/>
  <c r="D159" i="4"/>
  <c r="C88" i="4"/>
  <c r="C104" i="4"/>
  <c r="D141" i="4"/>
  <c r="F144" i="4"/>
  <c r="F141" i="4"/>
  <c r="E141" i="4"/>
  <c r="G141" i="4"/>
  <c r="H141" i="4"/>
  <c r="I141" i="4"/>
  <c r="J141" i="4"/>
  <c r="K141" i="4"/>
  <c r="L141" i="4"/>
  <c r="M141" i="4"/>
  <c r="N141" i="4"/>
  <c r="H158" i="4"/>
  <c r="H159" i="4"/>
  <c r="G158" i="4"/>
  <c r="G159" i="4"/>
  <c r="F159" i="4"/>
  <c r="E159" i="4"/>
  <c r="N157" i="4"/>
  <c r="M157" i="4"/>
  <c r="L157" i="4"/>
  <c r="K157" i="4"/>
  <c r="J157" i="4"/>
  <c r="I157" i="4"/>
  <c r="G157" i="4"/>
  <c r="F157" i="4"/>
  <c r="E157" i="4"/>
  <c r="D157" i="4"/>
  <c r="H147" i="4"/>
  <c r="G147" i="4"/>
  <c r="F147" i="4"/>
  <c r="E147" i="4"/>
  <c r="D147" i="4"/>
  <c r="C147" i="4"/>
  <c r="H145" i="4"/>
  <c r="G145" i="4"/>
  <c r="F145" i="4"/>
  <c r="E145" i="4"/>
  <c r="D145" i="4"/>
  <c r="H144" i="4"/>
  <c r="G144" i="4"/>
  <c r="E144" i="4"/>
  <c r="D144" i="4"/>
  <c r="N137" i="4"/>
  <c r="M137" i="4"/>
  <c r="L137" i="4"/>
  <c r="K137" i="4"/>
  <c r="J137" i="4"/>
  <c r="I137" i="4"/>
  <c r="H137" i="4"/>
  <c r="G137" i="4"/>
  <c r="F137" i="4"/>
  <c r="E137" i="4"/>
  <c r="D137" i="4"/>
  <c r="C137" i="4"/>
  <c r="C123" i="4"/>
  <c r="C118" i="4"/>
  <c r="C113" i="4"/>
  <c r="C107" i="4"/>
  <c r="C108" i="4"/>
  <c r="C105" i="4"/>
  <c r="D88" i="4"/>
  <c r="C92" i="4"/>
  <c r="C84" i="4"/>
  <c r="C79" i="4"/>
  <c r="N107" i="4"/>
  <c r="N108" i="4"/>
  <c r="M107" i="4"/>
  <c r="M108" i="4"/>
  <c r="L107" i="4"/>
  <c r="L108" i="4"/>
  <c r="K107" i="4"/>
  <c r="K108" i="4"/>
  <c r="J107" i="4"/>
  <c r="J108" i="4"/>
  <c r="I107" i="4"/>
  <c r="I108" i="4"/>
  <c r="H107" i="4"/>
  <c r="H108" i="4"/>
  <c r="G107" i="4"/>
  <c r="G108" i="4"/>
  <c r="F107" i="4"/>
  <c r="F108" i="4"/>
  <c r="E107" i="4"/>
  <c r="E108" i="4"/>
  <c r="D107" i="4"/>
  <c r="D108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N105" i="4"/>
  <c r="M105" i="4"/>
  <c r="L105" i="4"/>
  <c r="K105" i="4"/>
  <c r="J105" i="4"/>
  <c r="I105" i="4"/>
  <c r="H105" i="4"/>
  <c r="G105" i="4"/>
  <c r="F105" i="4"/>
  <c r="E105" i="4"/>
  <c r="D105" i="4"/>
  <c r="N88" i="4"/>
  <c r="N104" i="4"/>
  <c r="M88" i="4"/>
  <c r="M104" i="4"/>
  <c r="L88" i="4"/>
  <c r="L104" i="4"/>
  <c r="K88" i="4"/>
  <c r="K104" i="4"/>
  <c r="J88" i="4"/>
  <c r="J104" i="4"/>
  <c r="I88" i="4"/>
  <c r="I104" i="4"/>
  <c r="H88" i="4"/>
  <c r="H104" i="4"/>
  <c r="G88" i="4"/>
  <c r="G104" i="4"/>
  <c r="F88" i="4"/>
  <c r="F104" i="4"/>
  <c r="E88" i="4"/>
  <c r="E104" i="4"/>
  <c r="D104" i="4"/>
  <c r="N94" i="4"/>
  <c r="M94" i="4"/>
  <c r="L94" i="4"/>
  <c r="K94" i="4"/>
  <c r="J94" i="4"/>
  <c r="I94" i="4"/>
  <c r="H94" i="4"/>
  <c r="G94" i="4"/>
  <c r="F94" i="4"/>
  <c r="E94" i="4"/>
  <c r="D94" i="4"/>
  <c r="C94" i="4"/>
  <c r="N92" i="4"/>
  <c r="M92" i="4"/>
  <c r="L92" i="4"/>
  <c r="K92" i="4"/>
  <c r="J92" i="4"/>
  <c r="I92" i="4"/>
  <c r="H92" i="4"/>
  <c r="G92" i="4"/>
  <c r="F92" i="4"/>
  <c r="E92" i="4"/>
  <c r="D92" i="4"/>
  <c r="H91" i="4"/>
  <c r="G91" i="4"/>
  <c r="F91" i="4"/>
  <c r="E91" i="4"/>
  <c r="D91" i="4"/>
  <c r="C91" i="4"/>
  <c r="N84" i="4"/>
  <c r="M84" i="4"/>
  <c r="L84" i="4"/>
  <c r="K84" i="4"/>
  <c r="J84" i="4"/>
  <c r="I84" i="4"/>
  <c r="H84" i="4"/>
  <c r="G84" i="4"/>
  <c r="F84" i="4"/>
  <c r="E84" i="4"/>
  <c r="D84" i="4"/>
  <c r="N79" i="4"/>
  <c r="M79" i="4"/>
  <c r="L79" i="4"/>
  <c r="K79" i="4"/>
  <c r="J79" i="4"/>
  <c r="I79" i="4"/>
  <c r="H79" i="4"/>
  <c r="G79" i="4"/>
  <c r="F79" i="4"/>
  <c r="E79" i="4"/>
  <c r="D79" i="4"/>
  <c r="C65" i="4"/>
  <c r="C60" i="4"/>
  <c r="J23" i="4"/>
  <c r="I23" i="4"/>
  <c r="I46" i="4"/>
  <c r="D42" i="4"/>
  <c r="D43" i="4"/>
  <c r="E42" i="4"/>
  <c r="E43" i="4"/>
  <c r="F42" i="4"/>
  <c r="F43" i="4"/>
  <c r="G42" i="4"/>
  <c r="G43" i="4"/>
  <c r="J42" i="4"/>
  <c r="J43" i="4"/>
  <c r="K42" i="4"/>
  <c r="K43" i="4"/>
  <c r="L42" i="4"/>
  <c r="L43" i="4"/>
  <c r="M42" i="4"/>
  <c r="M43" i="4"/>
  <c r="N42" i="4"/>
  <c r="N43" i="4"/>
  <c r="C42" i="4"/>
  <c r="C43" i="4"/>
  <c r="I27" i="4"/>
  <c r="H27" i="4"/>
  <c r="J27" i="4"/>
  <c r="D51" i="4"/>
  <c r="E51" i="4"/>
  <c r="C51" i="4"/>
  <c r="E49" i="4"/>
  <c r="F49" i="4"/>
  <c r="G49" i="4"/>
  <c r="H49" i="4"/>
  <c r="D49" i="4"/>
  <c r="C49" i="4"/>
  <c r="J46" i="4"/>
  <c r="K46" i="4"/>
  <c r="L46" i="4"/>
  <c r="M46" i="4"/>
  <c r="N46" i="4"/>
  <c r="E46" i="4"/>
  <c r="F46" i="4"/>
  <c r="G46" i="4"/>
  <c r="H46" i="4"/>
  <c r="D46" i="4"/>
  <c r="C46" i="4"/>
  <c r="K27" i="4"/>
  <c r="L27" i="4"/>
  <c r="M27" i="4"/>
  <c r="N27" i="4"/>
  <c r="I40" i="4"/>
  <c r="G26" i="4"/>
  <c r="H26" i="4"/>
  <c r="I29" i="4"/>
  <c r="C26" i="4"/>
  <c r="D26" i="4"/>
  <c r="F26" i="4"/>
  <c r="E26" i="4"/>
  <c r="D27" i="4"/>
  <c r="E27" i="4"/>
  <c r="F27" i="4"/>
  <c r="G27" i="4"/>
  <c r="K41" i="4"/>
  <c r="J41" i="4"/>
  <c r="I41" i="4"/>
  <c r="L41" i="4"/>
  <c r="M41" i="4"/>
  <c r="N41" i="4"/>
  <c r="J40" i="4"/>
  <c r="K40" i="4"/>
  <c r="L40" i="4"/>
  <c r="M40" i="4"/>
  <c r="N40" i="4"/>
  <c r="I39" i="4"/>
  <c r="J39" i="4"/>
  <c r="K23" i="4"/>
  <c r="K39" i="4"/>
  <c r="L23" i="4"/>
  <c r="L39" i="4"/>
  <c r="M23" i="4"/>
  <c r="M39" i="4"/>
  <c r="N23" i="4"/>
  <c r="N39" i="4"/>
  <c r="I19" i="4"/>
  <c r="J19" i="4"/>
  <c r="K19" i="4"/>
  <c r="L19" i="4"/>
  <c r="M19" i="4"/>
  <c r="N19" i="4"/>
  <c r="I14" i="4"/>
  <c r="J14" i="4"/>
  <c r="K14" i="4"/>
  <c r="L14" i="4"/>
  <c r="M14" i="4"/>
  <c r="N14" i="4"/>
  <c r="F23" i="4"/>
  <c r="D41" i="4"/>
  <c r="E41" i="4"/>
  <c r="F41" i="4"/>
  <c r="G41" i="4"/>
  <c r="H41" i="4"/>
  <c r="C41" i="4"/>
  <c r="D40" i="4"/>
  <c r="E40" i="4"/>
  <c r="F40" i="4"/>
  <c r="G40" i="4"/>
  <c r="H40" i="4"/>
  <c r="C40" i="4"/>
  <c r="D23" i="4"/>
  <c r="D39" i="4"/>
  <c r="E23" i="4"/>
  <c r="E39" i="4"/>
  <c r="F39" i="4"/>
  <c r="G23" i="4"/>
  <c r="G39" i="4"/>
  <c r="H23" i="4"/>
  <c r="C23" i="4"/>
  <c r="C39" i="4"/>
  <c r="C29" i="4"/>
  <c r="E29" i="4"/>
  <c r="F29" i="4"/>
  <c r="G29" i="4"/>
  <c r="H29" i="4"/>
  <c r="D29" i="4"/>
  <c r="C27" i="4"/>
  <c r="C14" i="4"/>
  <c r="C19" i="4"/>
  <c r="E19" i="4"/>
  <c r="F19" i="4"/>
  <c r="G19" i="4"/>
  <c r="H19" i="4"/>
  <c r="D19" i="4"/>
  <c r="E14" i="4"/>
  <c r="F14" i="4"/>
  <c r="G14" i="4"/>
  <c r="H14" i="4"/>
  <c r="D14" i="4"/>
  <c r="E9" i="2"/>
  <c r="F10" i="2"/>
  <c r="D9" i="2"/>
  <c r="E10" i="2"/>
  <c r="H14" i="6"/>
  <c r="J14" i="6"/>
  <c r="H13" i="6"/>
  <c r="J13" i="6"/>
  <c r="H11" i="6"/>
  <c r="J11" i="6"/>
  <c r="B30" i="2"/>
  <c r="F30" i="2"/>
  <c r="G30" i="2"/>
  <c r="H30" i="2"/>
  <c r="I30" i="2"/>
  <c r="B35" i="7" a="1"/>
  <c r="B35" i="7"/>
  <c r="B30" i="7" a="1"/>
  <c r="B30" i="7"/>
  <c r="B25" i="7"/>
  <c r="B26" i="7"/>
  <c r="B24" i="7"/>
  <c r="C30" i="2"/>
  <c r="D10" i="2"/>
  <c r="E30" i="2"/>
  <c r="D30" i="2"/>
  <c r="J29" i="4"/>
  <c r="K29" i="4"/>
  <c r="L29" i="4"/>
  <c r="M29" i="4"/>
  <c r="N29" i="4"/>
  <c r="N158" i="4"/>
  <c r="N159" i="4"/>
  <c r="M158" i="4"/>
  <c r="M159" i="4"/>
  <c r="L158" i="4"/>
  <c r="L159" i="4"/>
  <c r="K158" i="4"/>
  <c r="K159" i="4"/>
  <c r="J158" i="4"/>
  <c r="J159" i="4"/>
  <c r="N147" i="4"/>
  <c r="M147" i="4"/>
  <c r="L147" i="4"/>
  <c r="K147" i="4"/>
  <c r="N145" i="4"/>
  <c r="M145" i="4"/>
  <c r="L145" i="4"/>
  <c r="K145" i="4"/>
  <c r="J145" i="4"/>
  <c r="I158" i="4"/>
  <c r="I159" i="4"/>
  <c r="J147" i="4"/>
  <c r="I147" i="4"/>
  <c r="I145" i="4"/>
  <c r="C57" i="4"/>
  <c r="C58" i="4"/>
  <c r="D6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Owen Purnomo</author>
  </authors>
  <commentList>
    <comment ref="J9" authorId="0" shapeId="0" xr:uid="{73AE17CF-6C51-A344-BA14-358EC37468C0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F1
</t>
        </r>
      </text>
    </comment>
    <comment ref="L9" authorId="0" shapeId="0" xr:uid="{52F1CCFF-53D6-164D-92E2-D6986427C15B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Super Bowl (Big Probability)
</t>
        </r>
      </text>
    </comment>
    <comment ref="I26" authorId="0" shapeId="0" xr:uid="{E25AC196-BEE5-1B4F-AAD2-7DBCDE13D736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Incentives growth based  on Las Vegas Total Growth
</t>
        </r>
      </text>
    </comment>
    <comment ref="C28" authorId="0" shapeId="0" xr:uid="{31D51D70-276C-D24C-A454-2F9FEA55B3FE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Other Revenue: $31 mm</t>
        </r>
      </text>
    </comment>
    <comment ref="I45" authorId="0" shapeId="0" xr:uid="{23C72ED5-5E93-BC4A-A952-A74B3F69E212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Average of 2022 to 2025</t>
        </r>
      </text>
    </comment>
    <comment ref="I49" authorId="0" shapeId="0" xr:uid="{75892170-E24A-504A-BAF2-BAAF626B99F3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War and Economic Slowdown
</t>
        </r>
      </text>
    </comment>
    <comment ref="C90" authorId="0" shapeId="0" xr:uid="{B3F4274C-247D-724B-A1C4-8D94B6B2BFAB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Other Revenue and Incentives adjusted
</t>
        </r>
      </text>
    </comment>
    <comment ref="C93" authorId="0" shapeId="0" xr:uid="{F48439CA-313C-5B47-8064-E2A5423BF4A2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Other Revenue: $31 mm</t>
        </r>
      </text>
    </comment>
    <comment ref="C200" authorId="0" shapeId="0" xr:uid="{AC3EA12D-B99B-3D48-B97C-D57688A3C27F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Debt extinguishment loss
</t>
        </r>
      </text>
    </comment>
    <comment ref="D200" authorId="0" shapeId="0" xr:uid="{414A722A-4E21-634C-B96A-BD7EB9089F9A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City Center Consolidation</t>
        </r>
      </text>
    </comment>
    <comment ref="E200" authorId="0" shapeId="0" xr:uid="{CB0CD3CD-B51C-AC40-B697-B705A5981A6F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Sale of Mirage 1.07 Billion
</t>
        </r>
      </text>
    </comment>
    <comment ref="F200" authorId="0" shapeId="0" xr:uid="{53E70E41-A1CC-5C4B-B3CD-B79C9A01EC42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Sale of Gold Strike Tunica
</t>
        </r>
      </text>
    </comment>
    <comment ref="H200" authorId="0" shapeId="0" xr:uid="{B0593418-3AFE-F142-992E-5F395221C13A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Goodwill and Property Impairments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Owen Purnomo</author>
  </authors>
  <commentList>
    <comment ref="L9" authorId="0" shapeId="0" xr:uid="{608A283D-D33F-404C-A5AC-3F6153A018D9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Super Bowl (Big Probability)
</t>
        </r>
      </text>
    </comment>
    <comment ref="I26" authorId="0" shapeId="0" xr:uid="{3226F613-9000-F34F-A835-BA6D2393A07D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Incentives growth based  on Las Vegas Total Growth
</t>
        </r>
      </text>
    </comment>
    <comment ref="C28" authorId="0" shapeId="0" xr:uid="{0E76A295-2750-2F4B-8857-EEDFB395EF44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Other Revenue: $31 mm</t>
        </r>
      </text>
    </comment>
    <comment ref="I45" authorId="0" shapeId="0" xr:uid="{9386E92D-55C6-6249-8C29-B100FE46861D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Average of 2022 to 2025</t>
        </r>
      </text>
    </comment>
    <comment ref="I49" authorId="0" shapeId="0" xr:uid="{F5B96B4D-1F8A-8E49-8295-FC8057CFA74A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War and Economic Slowdown
</t>
        </r>
      </text>
    </comment>
    <comment ref="C90" authorId="0" shapeId="0" xr:uid="{23211F71-CAAE-EE4F-BB2F-C56D181515D6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Other Revenue and Incentives adjusted
</t>
        </r>
      </text>
    </comment>
    <comment ref="C93" authorId="0" shapeId="0" xr:uid="{CEBDC364-5347-C244-88C7-65F38E039493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Other Revenue: $31 mm</t>
        </r>
      </text>
    </comment>
    <comment ref="C200" authorId="0" shapeId="0" xr:uid="{1771FE20-448C-014E-A98F-C726930C7BFB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Debt extinguishment loss
</t>
        </r>
      </text>
    </comment>
    <comment ref="D200" authorId="0" shapeId="0" xr:uid="{2DD76406-32D3-644A-826A-AAF5C82789CD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City Center Consolidation</t>
        </r>
      </text>
    </comment>
    <comment ref="E200" authorId="0" shapeId="0" xr:uid="{7D2FC25C-BB8D-1446-8DD7-F67825C47B43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Sale of Mirage 1.07 Billion
</t>
        </r>
      </text>
    </comment>
    <comment ref="F200" authorId="0" shapeId="0" xr:uid="{D4B9DE33-51FC-9F49-8C09-B364931065FC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Sale of Gold Strike Tunica
</t>
        </r>
      </text>
    </comment>
    <comment ref="H200" authorId="0" shapeId="0" xr:uid="{6AC6FDFC-F81B-BE44-8C8F-2BA3BF812433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Goodwill and Property Impairments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<sst xmlns="http://schemas.openxmlformats.org/spreadsheetml/2006/main" count="757" uniqueCount="206">
  <si>
    <t>Owen Purnomo</t>
  </si>
  <si>
    <t>Paramount</t>
  </si>
  <si>
    <t>Segment</t>
  </si>
  <si>
    <t>Metrics</t>
  </si>
  <si>
    <t>Segment Revenue Driver</t>
  </si>
  <si>
    <t>Total Revenue</t>
  </si>
  <si>
    <t>Interest Expense</t>
  </si>
  <si>
    <t>Pre-Tax Income</t>
  </si>
  <si>
    <t>Net Income</t>
  </si>
  <si>
    <t>Grotwh Rate</t>
  </si>
  <si>
    <t>Corporate Expense</t>
  </si>
  <si>
    <t>Depreciation &amp; Amort.</t>
  </si>
  <si>
    <t>EBITDA Margin</t>
  </si>
  <si>
    <t>Total EBIT</t>
  </si>
  <si>
    <t>Tax Benefit</t>
  </si>
  <si>
    <t>Cash Interest</t>
  </si>
  <si>
    <t>Capex</t>
  </si>
  <si>
    <t>Cash Taxes</t>
  </si>
  <si>
    <t>FCF</t>
  </si>
  <si>
    <t>Credit Matrix</t>
  </si>
  <si>
    <t>EBIT/Interest</t>
  </si>
  <si>
    <t>EBITDA/Interest</t>
  </si>
  <si>
    <t>(EBITDA - CAPEX)/Interest</t>
  </si>
  <si>
    <t>Gross Debt/EBITDAR</t>
  </si>
  <si>
    <t>FCF/ Debt</t>
  </si>
  <si>
    <t>Lease Expense</t>
  </si>
  <si>
    <t>Interest Rate</t>
  </si>
  <si>
    <t>Long Term Notes</t>
  </si>
  <si>
    <t>Short Term Debt</t>
  </si>
  <si>
    <t>Total Debt</t>
  </si>
  <si>
    <t>Note 8 &amp; 9: Debt &amp; Leases</t>
  </si>
  <si>
    <t>Operating Leases</t>
  </si>
  <si>
    <t>Total Purchase Obligations 2025 onwards</t>
  </si>
  <si>
    <t>Unfunded Pensions</t>
  </si>
  <si>
    <t>Adjusted Leverage</t>
  </si>
  <si>
    <t>Adjusted EBIT</t>
  </si>
  <si>
    <t>Instrument</t>
  </si>
  <si>
    <t>Coupon (%)</t>
  </si>
  <si>
    <t>Maturity</t>
  </si>
  <si>
    <t>Carrying Value ($mm)</t>
  </si>
  <si>
    <t>Senior Notes</t>
  </si>
  <si>
    <t>Senior Debentures</t>
  </si>
  <si>
    <t xml:space="preserve">Adjusted EBIT </t>
  </si>
  <si>
    <t>Percentage of Revenue</t>
  </si>
  <si>
    <t>Adjusted EBITDA</t>
  </si>
  <si>
    <t xml:space="preserve">Adjusted EBITDA </t>
  </si>
  <si>
    <t>EBIT Margin</t>
  </si>
  <si>
    <t>Upside</t>
  </si>
  <si>
    <t>Base</t>
  </si>
  <si>
    <t>Downside</t>
  </si>
  <si>
    <t>Coupon</t>
  </si>
  <si>
    <t>Spreads</t>
  </si>
  <si>
    <t>Scenario</t>
  </si>
  <si>
    <t>Price</t>
  </si>
  <si>
    <t>1Y Total Returns</t>
  </si>
  <si>
    <t>Current Price</t>
  </si>
  <si>
    <t>Current Yield:</t>
  </si>
  <si>
    <t>Maturity:</t>
  </si>
  <si>
    <t>Today</t>
  </si>
  <si>
    <t>Downside^2</t>
  </si>
  <si>
    <t xml:space="preserve">10 Year T-Yield: </t>
  </si>
  <si>
    <t xml:space="preserve">Current Spread &amp; Duration: </t>
  </si>
  <si>
    <t xml:space="preserve">Margins </t>
  </si>
  <si>
    <t>Credit Metrics</t>
  </si>
  <si>
    <t>MGM Resorts International</t>
  </si>
  <si>
    <t>NYSE: MGM</t>
  </si>
  <si>
    <t>Las Vegas Strip Resorts</t>
  </si>
  <si>
    <t>Table Drop Growth%</t>
  </si>
  <si>
    <t>Table Win%</t>
  </si>
  <si>
    <t>Slot Handle Growth%</t>
  </si>
  <si>
    <t>Table Games</t>
  </si>
  <si>
    <t>Las Vegas Visitor Growth%</t>
  </si>
  <si>
    <t>Spend per Visitor Growth %</t>
  </si>
  <si>
    <t>Slot Games</t>
  </si>
  <si>
    <t>Table Mix%</t>
  </si>
  <si>
    <t>Slot Mix%</t>
  </si>
  <si>
    <t>Slot Win%</t>
  </si>
  <si>
    <t>Gaming Summary</t>
  </si>
  <si>
    <t>Gaming Incentives (% of Gross Gaming Win)</t>
  </si>
  <si>
    <t>Casino Revenue Growth%</t>
  </si>
  <si>
    <t>Blend Hold%</t>
  </si>
  <si>
    <t>Analytics</t>
  </si>
  <si>
    <t xml:space="preserve">Table Drop </t>
  </si>
  <si>
    <t xml:space="preserve">Table Win </t>
  </si>
  <si>
    <t xml:space="preserve">Slot Handle </t>
  </si>
  <si>
    <t xml:space="preserve">Slot Win </t>
  </si>
  <si>
    <t xml:space="preserve">Total Handle </t>
  </si>
  <si>
    <t xml:space="preserve">Gross Gaming Win </t>
  </si>
  <si>
    <t xml:space="preserve">Casino Revenue </t>
  </si>
  <si>
    <t>Despite stable hold rates and mix, rising promotional reinvestment has structurally diluted revenue conversion, indicating competitive pressure rather than demand weakness</t>
  </si>
  <si>
    <t>-</t>
  </si>
  <si>
    <t>Total Growth</t>
  </si>
  <si>
    <t>Gaming Incentives Growth%</t>
  </si>
  <si>
    <t>Event Based Growth%</t>
  </si>
  <si>
    <t>Casino</t>
  </si>
  <si>
    <t>Rooms</t>
  </si>
  <si>
    <t>ADR Growth%</t>
  </si>
  <si>
    <t>RevPar</t>
  </si>
  <si>
    <t>Occupancy%</t>
  </si>
  <si>
    <t>Occupancy Growth%</t>
  </si>
  <si>
    <t>ADR (Average Daily Rate)</t>
  </si>
  <si>
    <t>Revpar/ADR</t>
  </si>
  <si>
    <t># of Rooms and Suites</t>
  </si>
  <si>
    <t>Food and Beverage</t>
  </si>
  <si>
    <t>Net Monetization</t>
  </si>
  <si>
    <t>Total SSP Allocation</t>
  </si>
  <si>
    <t>Promo/SSP Rate</t>
  </si>
  <si>
    <t>Gaming Incentives (SSP Allocation)</t>
  </si>
  <si>
    <t>MGM retains only ~50% of gross gaming win as casino revenue, with the remainder reinvested into customer incentives and reallocated across non-gaming segments, materially distorting segment-level profitability.</t>
  </si>
  <si>
    <t>Food and Beverage Revenue</t>
  </si>
  <si>
    <t>Entertainment, retail and other </t>
  </si>
  <si>
    <t>Segment Revenue (USD mm)</t>
  </si>
  <si>
    <t>Segment of Total Revenue%</t>
  </si>
  <si>
    <t>Segment EBIT Margin%</t>
  </si>
  <si>
    <t>Segment EBIT (USD mm)</t>
  </si>
  <si>
    <t>Regional Operations</t>
  </si>
  <si>
    <t>Regional Visitor Growth%</t>
  </si>
  <si>
    <t>MGM China</t>
  </si>
  <si>
    <t>China Visitor Growth%</t>
  </si>
  <si>
    <t>Figures in USD mm</t>
  </si>
  <si>
    <t>Market Growth %</t>
  </si>
  <si>
    <t>Product Expansion%</t>
  </si>
  <si>
    <t>Geographic Expansion%</t>
  </si>
  <si>
    <t>MGM Digital Revenue</t>
  </si>
  <si>
    <t>Revenue Growth %</t>
  </si>
  <si>
    <t>Total EBIT Margin%</t>
  </si>
  <si>
    <t>MGM Digital (Bet MGM)</t>
  </si>
  <si>
    <t xml:space="preserve">SSP Allocation to Rooms </t>
  </si>
  <si>
    <t xml:space="preserve">SSP Allocation to Food and Beverage </t>
  </si>
  <si>
    <t>Rooms% of LVSR</t>
  </si>
  <si>
    <t>F&amp;B% of LVSR</t>
  </si>
  <si>
    <t xml:space="preserve">SSP Allocation to Entertainment and Other </t>
  </si>
  <si>
    <t>Entertainmen% of LVSR</t>
  </si>
  <si>
    <t>Rooms Total Revenue</t>
  </si>
  <si>
    <t>Rooms Cash Revenue</t>
  </si>
  <si>
    <t>Rooms Promotion</t>
  </si>
  <si>
    <t>Food and Beverage Total Revenue</t>
  </si>
  <si>
    <t>Food and Beverage Cash Revenue</t>
  </si>
  <si>
    <t>Food and Beverage Promotional Revenue</t>
  </si>
  <si>
    <t>Entertianment &amp; other Promotional Revenue</t>
  </si>
  <si>
    <t>Entertianment &amp; other  Cash Revenue</t>
  </si>
  <si>
    <t>Entertainment, retail and other Cash Growth%</t>
  </si>
  <si>
    <t>Rooms Total Cash Revenue Growth%</t>
  </si>
  <si>
    <t>Food and Beverage Cash Revenue Growth%</t>
  </si>
  <si>
    <t>SSP Allocation to Entertainment</t>
  </si>
  <si>
    <t>Rooms% of Regional Operations</t>
  </si>
  <si>
    <t>F&amp;B% of Regional Operations</t>
  </si>
  <si>
    <t>Rooms Cash Revenue Growth%</t>
  </si>
  <si>
    <t>Entertainment, retail and other Cash Revenue Growth%</t>
  </si>
  <si>
    <t>Entertainment, retail and other Cash Revenue</t>
  </si>
  <si>
    <t>Total Entertainment, retail and other Revenue</t>
  </si>
  <si>
    <t>Rooms% of MGM China</t>
  </si>
  <si>
    <t>F&amp;B% of MGM China</t>
  </si>
  <si>
    <t>SSP Allocation to Entertainment and Other</t>
  </si>
  <si>
    <t>Entertainment% of Regional Operations</t>
  </si>
  <si>
    <t>Entertainment% of MGM China</t>
  </si>
  <si>
    <t>Entertainment, retail and other Total Revenue</t>
  </si>
  <si>
    <t>https://www.grandviewresearch.com/industry-analysis/us-online-gambling-market-report</t>
  </si>
  <si>
    <t>https://www.mordorintelligence.com/industry-reports/united-states-online-gambling-market?utm_source=chatgpt.com</t>
  </si>
  <si>
    <t>https://finance.yahoo.com/news/united-states-online-gambling-market-080500010.html?utm_source=chatgpt.com</t>
  </si>
  <si>
    <t>Adjusted EBIT Margin%</t>
  </si>
  <si>
    <t>Reported EBITDA is highly distorted across the cycle, with 2020 impacted by COVID-related shutdowns, 2021 inflated by a $1.6B consolidation gain, and 2022–2023 boosted by asset sales, reinforcing the need to normalize earnings to assess sustainable cash flow</t>
  </si>
  <si>
    <t>MGM</t>
  </si>
  <si>
    <t>Las Vegas Strip Resorts Revenue</t>
  </si>
  <si>
    <t>Regional Operations Revenue</t>
  </si>
  <si>
    <t>MGM China Revenue</t>
  </si>
  <si>
    <t>Las Vegas Strip EBIT</t>
  </si>
  <si>
    <t>Regional Operations EBIT</t>
  </si>
  <si>
    <t>MGM China EBIT</t>
  </si>
  <si>
    <t>MGM Digital EBIT</t>
  </si>
  <si>
    <t>Adjusted Net Income</t>
  </si>
  <si>
    <t>Lease adjusted debt/ Ebitdar</t>
  </si>
  <si>
    <t>H199-H205</t>
  </si>
  <si>
    <t>Non-operating items from unconsolidated affiliates</t>
  </si>
  <si>
    <t>Other, net</t>
  </si>
  <si>
    <t>Net income attributable to noncontrolling interests</t>
  </si>
  <si>
    <t>Pension obligations are primarily multiemployer in nature and not recognized on balance sheet, limiting their relevance to leverage analysis relative to the company’s substantial lease obligations</t>
  </si>
  <si>
    <t>MGM participates in multiemployer pension plans, limiting balance sheet recognition of pension liabilities, with exposure primarily reflected through ongoing contributions and contingent withdrawal risk</t>
  </si>
  <si>
    <t>Las Vegas Strip Revenue</t>
  </si>
  <si>
    <t xml:space="preserve">Las Vegas Strip </t>
  </si>
  <si>
    <t xml:space="preserve">MGM Digital </t>
  </si>
  <si>
    <t>MGM Digital</t>
  </si>
  <si>
    <t>Adjusted Debt/EBITDAR</t>
  </si>
  <si>
    <t xml:space="preserve">
MGM Resorts International 6.5% </t>
  </si>
  <si>
    <t>CUSIP: 552953CJ8</t>
  </si>
  <si>
    <t>Ratings: B+/B1/BB-</t>
  </si>
  <si>
    <t>MGM Segement</t>
  </si>
  <si>
    <t>Operating Cash before maturities</t>
  </si>
  <si>
    <t>Maintence Capex (60%)</t>
  </si>
  <si>
    <t>Due By 2032</t>
  </si>
  <si>
    <t>Capital Structure</t>
  </si>
  <si>
    <t>Amount Outstadning</t>
  </si>
  <si>
    <t>Senior Unsecured</t>
  </si>
  <si>
    <t>Revolver (Undrawn)</t>
  </si>
  <si>
    <t>2026 to 2036</t>
  </si>
  <si>
    <t>Equity</t>
  </si>
  <si>
    <t>Total Cushion</t>
  </si>
  <si>
    <t>Cash</t>
  </si>
  <si>
    <t>Operating Cash</t>
  </si>
  <si>
    <t>Total Liquidity</t>
  </si>
  <si>
    <t>Liquidity Sources</t>
  </si>
  <si>
    <t>Base Case Income Statement</t>
  </si>
  <si>
    <t>MGM China Cash</t>
  </si>
  <si>
    <t>MGM China Revoler</t>
  </si>
  <si>
    <t>Yen Credit Facility</t>
  </si>
  <si>
    <t>Downside Case Income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</si>
</sst>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;\-&quot;$&quot;#,##0"/>
    <numFmt numFmtId="165" formatCode="0.0%"/>
    <numFmt numFmtId="166" formatCode="0.0"/>
    <numFmt numFmtId="167" formatCode="#,##0.0_);[Red]\(#,##0.0\)"/>
    <numFmt numFmtId="168" formatCode="&quot;$&quot;#,##0.00"/>
    <numFmt numFmtId="169" formatCode="##0"/>
    <numFmt numFmtId="170" formatCode="0_);\(0\)"/>
    <numFmt numFmtId="171" formatCode="0_ ;\-0\ "/>
    <numFmt numFmtId="172" formatCode="#,##0_ ;\-#,##0\ "/>
    <numFmt numFmtId="173" formatCode="&quot;$&quot;#,##0.0_);\(&quot;$&quot;#,##0.0\)"/>
    <numFmt numFmtId="174" formatCode="&quot;$&quot;#,##0"/>
    <numFmt numFmtId="175" formatCode="_(&quot;$&quot;* #,##0_);_(&quot;$&quot;* \(#,##0\);_(&quot;$&quot;* &quot;-&quot;??_);_(@_)"/>
    <numFmt numFmtId="176" formatCode="_(* #,##0_);_(* \(#,##0\);_(* &quot;-&quot;??_);_(@_)"/>
    <numFmt numFmtId="177" formatCode="#,##0.0_);\(#,##0.0\)"/>
    <numFmt numFmtId="178" formatCode="0.000%"/>
    <numFmt numFmtId="179" formatCode="#,##0.000"/>
    <numFmt numFmtId="180" formatCode="0.000"/>
  </numFmts>
  <fonts count="28">
    <font>
      <sz val="10"/>
      <name val="Arial"/>
    </font>
    <font>
      <sz val="10"/>
      <name val="Arial"/>
      <family val="2"/>
    </font>
    <font>
      <sz val="9"/>
      <name val="Times New Roman"/>
      <family val="1"/>
    </font>
    <font>
      <sz val="10"/>
      <name val="MS Sans Serif"/>
    </font>
    <font>
      <sz val="8"/>
      <color indexed="39"/>
      <name val="Arial"/>
      <family val="2"/>
    </font>
    <font>
      <sz val="10"/>
      <color indexed="12"/>
      <name val="MS Sans Serif"/>
    </font>
    <font>
      <sz val="7"/>
      <name val="Arial"/>
      <family val="2"/>
    </font>
    <font>
      <sz val="12"/>
      <name val="Bookman Old Style"/>
      <family val="1"/>
    </font>
    <font>
      <sz val="12"/>
      <name val="Times New Roman"/>
      <family val="1"/>
    </font>
    <font>
      <b/>
      <sz val="12"/>
      <name val="Bookman Old Style"/>
      <family val="1"/>
    </font>
    <font>
      <sz val="10"/>
      <name val="Arial"/>
      <family val="2"/>
    </font>
    <font>
      <b/>
      <sz val="12"/>
      <color theme="1"/>
      <name val="Bookman Old Style"/>
      <family val="1"/>
    </font>
    <font>
      <sz val="14"/>
      <name val="Bookman Old Style"/>
      <family val="1"/>
    </font>
    <font>
      <b/>
      <sz val="14"/>
      <name val="Bookman Old Style"/>
      <family val="1"/>
    </font>
    <font>
      <b/>
      <sz val="14"/>
      <color theme="0"/>
      <name val="Bookman Old Style"/>
      <family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rial"/>
      <family val="2"/>
    </font>
    <font>
      <sz val="14"/>
      <color theme="1"/>
      <name val="Bookman Old Style"/>
      <family val="1"/>
    </font>
    <font>
      <sz val="14"/>
      <color rgb="FF000000"/>
      <name val="Bookman Old Style"/>
      <family val="1"/>
    </font>
    <font>
      <b/>
      <sz val="14"/>
      <color theme="1"/>
      <name val="Bookman Old Style"/>
      <family val="1"/>
    </font>
    <font>
      <sz val="8"/>
      <name val="Arial"/>
      <family val="2"/>
    </font>
    <font>
      <sz val="14"/>
      <name val="Arial"/>
      <family val="2"/>
    </font>
    <font>
      <sz val="14"/>
      <color theme="0"/>
      <name val="Bookman Old Style"/>
      <family val="1"/>
    </font>
    <font>
      <sz val="14"/>
      <color rgb="FFFFFFFF"/>
      <name val="Bookman Old Style"/>
      <family val="1"/>
    </font>
    <font>
      <sz val="14"/>
      <name val="Times New Roman"/>
      <family val="1"/>
    </font>
    <font>
      <sz val="14"/>
      <color rgb="FF000000"/>
      <name val="Times New Roman"/>
      <family val="1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D6418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1">
    <xf numFmtId="0" fontId="0" fillId="0" borderId="0"/>
    <xf numFmtId="0" fontId="2" fillId="0" borderId="0"/>
    <xf numFmtId="43" fontId="1" fillId="0" borderId="0" applyFont="0" applyFill="0" applyBorder="0" applyAlignment="0" applyProtection="0"/>
    <xf numFmtId="169" fontId="3" fillId="0" borderId="0"/>
    <xf numFmtId="169" fontId="3" fillId="0" borderId="0"/>
    <xf numFmtId="169" fontId="3" fillId="0" borderId="0"/>
    <xf numFmtId="169" fontId="3" fillId="0" borderId="0"/>
    <xf numFmtId="169" fontId="3" fillId="0" borderId="0"/>
    <xf numFmtId="169" fontId="3" fillId="0" borderId="0"/>
    <xf numFmtId="169" fontId="3" fillId="0" borderId="0"/>
    <xf numFmtId="169" fontId="3" fillId="0" borderId="0"/>
    <xf numFmtId="167" fontId="4" fillId="2" borderId="0" applyNumberFormat="0" applyBorder="0" applyAlignment="0">
      <protection locked="0"/>
    </xf>
    <xf numFmtId="10" fontId="5" fillId="0" borderId="0">
      <protection locked="0"/>
    </xf>
    <xf numFmtId="15" fontId="5" fillId="0" borderId="0">
      <protection locked="0"/>
    </xf>
    <xf numFmtId="2" fontId="5" fillId="0" borderId="1">
      <protection locked="0"/>
    </xf>
    <xf numFmtId="0" fontId="5" fillId="0" borderId="0">
      <protection locked="0"/>
    </xf>
    <xf numFmtId="168" fontId="3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44" fontId="10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270">
    <xf numFmtId="0" fontId="0" fillId="0" borderId="0" xfId="0"/>
    <xf numFmtId="3" fontId="7" fillId="0" borderId="0" xfId="0" applyNumberFormat="1" applyFont="1"/>
    <xf numFmtId="165" fontId="7" fillId="0" borderId="0" xfId="0" applyNumberFormat="1" applyFont="1"/>
    <xf numFmtId="165" fontId="7" fillId="0" borderId="0" xfId="17" applyNumberFormat="1" applyFont="1"/>
    <xf numFmtId="5" fontId="7" fillId="0" borderId="0" xfId="0" applyNumberFormat="1" applyFont="1"/>
    <xf numFmtId="37" fontId="7" fillId="0" borderId="0" xfId="0" applyNumberFormat="1" applyFont="1"/>
    <xf numFmtId="166" fontId="7" fillId="0" borderId="0" xfId="0" applyNumberFormat="1" applyFont="1"/>
    <xf numFmtId="3" fontId="8" fillId="0" borderId="0" xfId="0" applyNumberFormat="1" applyFont="1"/>
    <xf numFmtId="5" fontId="7" fillId="0" borderId="0" xfId="17" applyNumberFormat="1" applyFont="1"/>
    <xf numFmtId="171" fontId="7" fillId="0" borderId="0" xfId="0" applyNumberFormat="1" applyFont="1" applyAlignment="1">
      <alignment horizontal="center"/>
    </xf>
    <xf numFmtId="164" fontId="7" fillId="0" borderId="0" xfId="0" applyNumberFormat="1" applyFont="1"/>
    <xf numFmtId="170" fontId="7" fillId="0" borderId="0" xfId="0" applyNumberFormat="1" applyFont="1"/>
    <xf numFmtId="173" fontId="7" fillId="0" borderId="0" xfId="0" applyNumberFormat="1" applyFont="1"/>
    <xf numFmtId="165" fontId="9" fillId="0" borderId="0" xfId="0" applyNumberFormat="1" applyFont="1"/>
    <xf numFmtId="174" fontId="7" fillId="0" borderId="0" xfId="0" applyNumberFormat="1" applyFont="1"/>
    <xf numFmtId="174" fontId="7" fillId="0" borderId="0" xfId="19" applyNumberFormat="1" applyFont="1"/>
    <xf numFmtId="7" fontId="7" fillId="0" borderId="0" xfId="0" applyNumberFormat="1" applyFont="1"/>
    <xf numFmtId="165" fontId="9" fillId="0" borderId="0" xfId="17" applyNumberFormat="1" applyFont="1" applyFill="1"/>
    <xf numFmtId="1" fontId="7" fillId="0" borderId="0" xfId="17" applyNumberFormat="1" applyFont="1" applyFill="1"/>
    <xf numFmtId="5" fontId="7" fillId="0" borderId="0" xfId="17" applyNumberFormat="1" applyFont="1" applyFill="1"/>
    <xf numFmtId="170" fontId="7" fillId="0" borderId="0" xfId="0" applyNumberFormat="1" applyFont="1" applyAlignment="1">
      <alignment horizontal="center"/>
    </xf>
    <xf numFmtId="10" fontId="9" fillId="0" borderId="0" xfId="0" applyNumberFormat="1" applyFont="1"/>
    <xf numFmtId="176" fontId="7" fillId="0" borderId="0" xfId="2" applyNumberFormat="1" applyFont="1" applyFill="1"/>
    <xf numFmtId="37" fontId="7" fillId="0" borderId="0" xfId="17" applyNumberFormat="1" applyFont="1" applyFill="1"/>
    <xf numFmtId="3" fontId="9" fillId="0" borderId="0" xfId="0" applyNumberFormat="1" applyFont="1"/>
    <xf numFmtId="3" fontId="7" fillId="0" borderId="0" xfId="0" quotePrefix="1" applyNumberFormat="1" applyFont="1"/>
    <xf numFmtId="174" fontId="7" fillId="0" borderId="0" xfId="2" applyNumberFormat="1" applyFont="1" applyFill="1"/>
    <xf numFmtId="174" fontId="7" fillId="0" borderId="0" xfId="19" applyNumberFormat="1" applyFont="1" applyFill="1"/>
    <xf numFmtId="10" fontId="11" fillId="0" borderId="0" xfId="0" applyNumberFormat="1" applyFont="1"/>
    <xf numFmtId="1" fontId="7" fillId="0" borderId="0" xfId="0" applyNumberFormat="1" applyFont="1"/>
    <xf numFmtId="0" fontId="7" fillId="0" borderId="0" xfId="0" applyFont="1"/>
    <xf numFmtId="177" fontId="7" fillId="0" borderId="0" xfId="0" applyNumberFormat="1" applyFont="1"/>
    <xf numFmtId="7" fontId="7" fillId="0" borderId="0" xfId="17" applyNumberFormat="1" applyFont="1" applyFill="1"/>
    <xf numFmtId="0" fontId="7" fillId="0" borderId="0" xfId="17" applyNumberFormat="1" applyFont="1" applyFill="1"/>
    <xf numFmtId="10" fontId="7" fillId="0" borderId="0" xfId="0" applyNumberFormat="1" applyFont="1"/>
    <xf numFmtId="165" fontId="7" fillId="0" borderId="0" xfId="17" applyNumberFormat="1" applyFont="1" applyFill="1"/>
    <xf numFmtId="10" fontId="7" fillId="0" borderId="0" xfId="17" applyNumberFormat="1" applyFont="1" applyFill="1"/>
    <xf numFmtId="172" fontId="7" fillId="0" borderId="0" xfId="0" applyNumberFormat="1" applyFont="1"/>
    <xf numFmtId="9" fontId="7" fillId="0" borderId="0" xfId="17" applyFont="1" applyFill="1"/>
    <xf numFmtId="176" fontId="7" fillId="0" borderId="0" xfId="0" applyNumberFormat="1" applyFont="1"/>
    <xf numFmtId="1" fontId="7" fillId="0" borderId="0" xfId="2" applyNumberFormat="1" applyFont="1" applyFill="1"/>
    <xf numFmtId="0" fontId="9" fillId="0" borderId="0" xfId="0" applyFont="1"/>
    <xf numFmtId="174" fontId="7" fillId="0" borderId="0" xfId="19" applyNumberFormat="1" applyFont="1" applyFill="1" applyBorder="1"/>
    <xf numFmtId="5" fontId="7" fillId="0" borderId="0" xfId="2" applyNumberFormat="1" applyFont="1" applyFill="1" applyBorder="1"/>
    <xf numFmtId="37" fontId="7" fillId="0" borderId="0" xfId="0" applyNumberFormat="1" applyFont="1" applyAlignment="1">
      <alignment horizontal="right"/>
    </xf>
    <xf numFmtId="0" fontId="8" fillId="0" borderId="0" xfId="0" applyFont="1"/>
    <xf numFmtId="38" fontId="7" fillId="0" borderId="0" xfId="2" applyNumberFormat="1" applyFont="1" applyFill="1"/>
    <xf numFmtId="175" fontId="8" fillId="0" borderId="0" xfId="19" applyNumberFormat="1" applyFont="1" applyFill="1"/>
    <xf numFmtId="175" fontId="7" fillId="0" borderId="0" xfId="19" applyNumberFormat="1" applyFont="1" applyFill="1"/>
    <xf numFmtId="0" fontId="11" fillId="0" borderId="0" xfId="0" applyFont="1"/>
    <xf numFmtId="10" fontId="11" fillId="0" borderId="0" xfId="17" applyNumberFormat="1" applyFont="1" applyFill="1"/>
    <xf numFmtId="4" fontId="7" fillId="0" borderId="0" xfId="0" applyNumberFormat="1" applyFont="1"/>
    <xf numFmtId="10" fontId="8" fillId="0" borderId="0" xfId="17" applyNumberFormat="1" applyFont="1" applyFill="1"/>
    <xf numFmtId="14" fontId="12" fillId="0" borderId="0" xfId="0" applyNumberFormat="1" applyFont="1" applyAlignment="1">
      <alignment horizontal="center"/>
    </xf>
    <xf numFmtId="3" fontId="12" fillId="0" borderId="0" xfId="0" applyNumberFormat="1" applyFont="1"/>
    <xf numFmtId="10" fontId="9" fillId="0" borderId="0" xfId="17" applyNumberFormat="1" applyFont="1" applyFill="1"/>
    <xf numFmtId="170" fontId="12" fillId="0" borderId="0" xfId="0" applyNumberFormat="1" applyFont="1"/>
    <xf numFmtId="3" fontId="13" fillId="0" borderId="0" xfId="0" applyNumberFormat="1" applyFont="1" applyAlignment="1">
      <alignment horizontal="left"/>
    </xf>
    <xf numFmtId="3" fontId="13" fillId="0" borderId="0" xfId="0" quotePrefix="1" applyNumberFormat="1" applyFont="1" applyAlignment="1">
      <alignment horizontal="left"/>
    </xf>
    <xf numFmtId="3" fontId="12" fillId="0" borderId="0" xfId="0" applyNumberFormat="1" applyFont="1" applyAlignment="1">
      <alignment horizontal="left"/>
    </xf>
    <xf numFmtId="3" fontId="12" fillId="0" borderId="0" xfId="0" quotePrefix="1" applyNumberFormat="1" applyFont="1" applyAlignment="1">
      <alignment horizontal="left"/>
    </xf>
    <xf numFmtId="3" fontId="13" fillId="0" borderId="0" xfId="0" applyNumberFormat="1" applyFont="1"/>
    <xf numFmtId="0" fontId="12" fillId="0" borderId="0" xfId="0" applyFont="1"/>
    <xf numFmtId="5" fontId="13" fillId="0" borderId="0" xfId="0" applyNumberFormat="1" applyFont="1" applyAlignment="1">
      <alignment horizontal="center"/>
    </xf>
    <xf numFmtId="165" fontId="12" fillId="0" borderId="0" xfId="0" applyNumberFormat="1" applyFont="1"/>
    <xf numFmtId="37" fontId="12" fillId="0" borderId="0" xfId="0" applyNumberFormat="1" applyFont="1"/>
    <xf numFmtId="5" fontId="12" fillId="0" borderId="0" xfId="0" applyNumberFormat="1" applyFont="1"/>
    <xf numFmtId="166" fontId="12" fillId="0" borderId="0" xfId="0" applyNumberFormat="1" applyFont="1"/>
    <xf numFmtId="3" fontId="12" fillId="0" borderId="0" xfId="0" quotePrefix="1" applyNumberFormat="1" applyFont="1"/>
    <xf numFmtId="3" fontId="13" fillId="0" borderId="0" xfId="0" quotePrefix="1" applyNumberFormat="1" applyFont="1"/>
    <xf numFmtId="166" fontId="13" fillId="0" borderId="0" xfId="0" applyNumberFormat="1" applyFont="1"/>
    <xf numFmtId="174" fontId="12" fillId="0" borderId="0" xfId="0" applyNumberFormat="1" applyFont="1"/>
    <xf numFmtId="9" fontId="12" fillId="0" borderId="0" xfId="17" applyFont="1"/>
    <xf numFmtId="10" fontId="12" fillId="0" borderId="0" xfId="17" applyNumberFormat="1" applyFont="1" applyFill="1"/>
    <xf numFmtId="174" fontId="12" fillId="0" borderId="0" xfId="2" quotePrefix="1" applyNumberFormat="1" applyFont="1" applyFill="1"/>
    <xf numFmtId="174" fontId="12" fillId="0" borderId="0" xfId="2" applyNumberFormat="1" applyFont="1" applyFill="1"/>
    <xf numFmtId="174" fontId="12" fillId="0" borderId="0" xfId="17" applyNumberFormat="1" applyFont="1"/>
    <xf numFmtId="168" fontId="12" fillId="0" borderId="0" xfId="0" applyNumberFormat="1" applyFont="1"/>
    <xf numFmtId="176" fontId="12" fillId="0" borderId="0" xfId="2" applyNumberFormat="1" applyFont="1" applyFill="1"/>
    <xf numFmtId="10" fontId="12" fillId="0" borderId="0" xfId="0" applyNumberFormat="1" applyFont="1"/>
    <xf numFmtId="2" fontId="12" fillId="0" borderId="0" xfId="2" applyNumberFormat="1" applyFont="1" applyFill="1"/>
    <xf numFmtId="37" fontId="13" fillId="0" borderId="0" xfId="0" applyNumberFormat="1" applyFont="1"/>
    <xf numFmtId="2" fontId="12" fillId="0" borderId="0" xfId="19" applyNumberFormat="1" applyFont="1" applyFill="1"/>
    <xf numFmtId="174" fontId="12" fillId="0" borderId="0" xfId="17" applyNumberFormat="1" applyFont="1" applyFill="1"/>
    <xf numFmtId="10" fontId="12" fillId="0" borderId="0" xfId="17" applyNumberFormat="1" applyFont="1"/>
    <xf numFmtId="5" fontId="12" fillId="0" borderId="0" xfId="17" applyNumberFormat="1" applyFont="1" applyFill="1"/>
    <xf numFmtId="1" fontId="12" fillId="0" borderId="0" xfId="0" applyNumberFormat="1" applyFont="1"/>
    <xf numFmtId="174" fontId="12" fillId="0" borderId="0" xfId="19" applyNumberFormat="1" applyFont="1"/>
    <xf numFmtId="174" fontId="12" fillId="0" borderId="0" xfId="19" applyNumberFormat="1" applyFont="1" applyFill="1"/>
    <xf numFmtId="7" fontId="12" fillId="0" borderId="0" xfId="0" applyNumberFormat="1" applyFont="1"/>
    <xf numFmtId="39" fontId="12" fillId="0" borderId="0" xfId="0" applyNumberFormat="1" applyFont="1"/>
    <xf numFmtId="177" fontId="12" fillId="0" borderId="0" xfId="0" applyNumberFormat="1" applyFont="1"/>
    <xf numFmtId="166" fontId="12" fillId="0" borderId="0" xfId="17" applyNumberFormat="1" applyFont="1" applyFill="1"/>
    <xf numFmtId="7" fontId="12" fillId="0" borderId="0" xfId="17" applyNumberFormat="1" applyFont="1" applyFill="1"/>
    <xf numFmtId="3" fontId="14" fillId="0" borderId="0" xfId="0" applyNumberFormat="1" applyFont="1" applyAlignment="1">
      <alignment horizontal="center"/>
    </xf>
    <xf numFmtId="171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/>
    <xf numFmtId="2" fontId="12" fillId="0" borderId="0" xfId="0" applyNumberFormat="1" applyFont="1"/>
    <xf numFmtId="2" fontId="9" fillId="0" borderId="0" xfId="0" applyNumberFormat="1" applyFont="1"/>
    <xf numFmtId="0" fontId="19" fillId="0" borderId="0" xfId="0" applyFont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174" fontId="19" fillId="0" borderId="0" xfId="0" applyNumberFormat="1" applyFont="1" applyAlignment="1">
      <alignment horizontal="right"/>
    </xf>
    <xf numFmtId="0" fontId="13" fillId="0" borderId="9" xfId="0" applyFont="1" applyBorder="1"/>
    <xf numFmtId="2" fontId="12" fillId="0" borderId="0" xfId="2" applyNumberFormat="1" applyFont="1" applyFill="1" applyBorder="1"/>
    <xf numFmtId="2" fontId="12" fillId="0" borderId="10" xfId="2" applyNumberFormat="1" applyFont="1" applyFill="1" applyBorder="1"/>
    <xf numFmtId="2" fontId="12" fillId="0" borderId="10" xfId="0" applyNumberFormat="1" applyFont="1" applyBorder="1"/>
    <xf numFmtId="3" fontId="13" fillId="0" borderId="9" xfId="0" applyNumberFormat="1" applyFont="1" applyBorder="1"/>
    <xf numFmtId="2" fontId="12" fillId="0" borderId="0" xfId="19" applyNumberFormat="1" applyFont="1" applyFill="1" applyBorder="1"/>
    <xf numFmtId="2" fontId="12" fillId="0" borderId="10" xfId="19" applyNumberFormat="1" applyFont="1" applyFill="1" applyBorder="1"/>
    <xf numFmtId="166" fontId="13" fillId="0" borderId="9" xfId="0" applyNumberFormat="1" applyFont="1" applyBorder="1"/>
    <xf numFmtId="37" fontId="13" fillId="0" borderId="6" xfId="0" applyNumberFormat="1" applyFont="1" applyBorder="1"/>
    <xf numFmtId="0" fontId="20" fillId="0" borderId="3" xfId="0" applyFont="1" applyBorder="1" applyAlignment="1">
      <alignment horizontal="center"/>
    </xf>
    <xf numFmtId="176" fontId="18" fillId="0" borderId="4" xfId="2" applyNumberFormat="1" applyFont="1" applyFill="1" applyBorder="1"/>
    <xf numFmtId="5" fontId="18" fillId="0" borderId="4" xfId="0" applyNumberFormat="1" applyFont="1" applyBorder="1"/>
    <xf numFmtId="174" fontId="12" fillId="0" borderId="4" xfId="0" applyNumberFormat="1" applyFont="1" applyBorder="1" applyAlignment="1">
      <alignment horizontal="center"/>
    </xf>
    <xf numFmtId="3" fontId="12" fillId="0" borderId="4" xfId="0" applyNumberFormat="1" applyFont="1" applyBorder="1" applyAlignment="1">
      <alignment horizontal="center"/>
    </xf>
    <xf numFmtId="3" fontId="12" fillId="0" borderId="5" xfId="0" applyNumberFormat="1" applyFont="1" applyBorder="1" applyAlignment="1">
      <alignment horizontal="center"/>
    </xf>
    <xf numFmtId="165" fontId="12" fillId="0" borderId="9" xfId="0" applyNumberFormat="1" applyFont="1" applyBorder="1" applyAlignment="1">
      <alignment horizontal="center"/>
    </xf>
    <xf numFmtId="174" fontId="12" fillId="0" borderId="10" xfId="0" applyNumberFormat="1" applyFont="1" applyBorder="1" applyAlignment="1">
      <alignment horizontal="center"/>
    </xf>
    <xf numFmtId="3" fontId="12" fillId="0" borderId="9" xfId="0" applyNumberFormat="1" applyFont="1" applyBorder="1" applyAlignment="1">
      <alignment horizontal="center"/>
    </xf>
    <xf numFmtId="174" fontId="12" fillId="0" borderId="9" xfId="0" applyNumberFormat="1" applyFont="1" applyBorder="1" applyAlignment="1">
      <alignment horizontal="center"/>
    </xf>
    <xf numFmtId="3" fontId="12" fillId="0" borderId="6" xfId="0" applyNumberFormat="1" applyFont="1" applyBorder="1" applyAlignment="1">
      <alignment horizontal="center"/>
    </xf>
    <xf numFmtId="1" fontId="12" fillId="0" borderId="7" xfId="0" applyNumberFormat="1" applyFont="1" applyBorder="1" applyAlignment="1">
      <alignment horizontal="center"/>
    </xf>
    <xf numFmtId="3" fontId="12" fillId="0" borderId="15" xfId="0" applyNumberFormat="1" applyFont="1" applyBorder="1" applyAlignment="1">
      <alignment horizontal="center"/>
    </xf>
    <xf numFmtId="174" fontId="12" fillId="0" borderId="14" xfId="0" applyNumberFormat="1" applyFont="1" applyBorder="1" applyAlignment="1">
      <alignment horizontal="center"/>
    </xf>
    <xf numFmtId="174" fontId="12" fillId="0" borderId="16" xfId="0" applyNumberFormat="1" applyFont="1" applyBorder="1" applyAlignment="1">
      <alignment horizontal="center"/>
    </xf>
    <xf numFmtId="178" fontId="12" fillId="0" borderId="0" xfId="17" applyNumberFormat="1" applyFont="1" applyBorder="1" applyAlignment="1">
      <alignment horizontal="center"/>
    </xf>
    <xf numFmtId="168" fontId="12" fillId="0" borderId="0" xfId="19" applyNumberFormat="1" applyFont="1" applyBorder="1" applyAlignment="1">
      <alignment horizontal="center"/>
    </xf>
    <xf numFmtId="168" fontId="12" fillId="0" borderId="7" xfId="19" applyNumberFormat="1" applyFont="1" applyBorder="1" applyAlignment="1">
      <alignment horizontal="center"/>
    </xf>
    <xf numFmtId="10" fontId="12" fillId="0" borderId="10" xfId="17" applyNumberFormat="1" applyFont="1" applyBorder="1" applyAlignment="1">
      <alignment horizontal="center"/>
    </xf>
    <xf numFmtId="10" fontId="12" fillId="0" borderId="8" xfId="17" applyNumberFormat="1" applyFont="1" applyBorder="1" applyAlignment="1">
      <alignment horizontal="center"/>
    </xf>
    <xf numFmtId="178" fontId="12" fillId="0" borderId="0" xfId="17" applyNumberFormat="1" applyFont="1" applyFill="1" applyBorder="1" applyAlignment="1">
      <alignment horizontal="center"/>
    </xf>
    <xf numFmtId="1" fontId="12" fillId="0" borderId="10" xfId="0" applyNumberFormat="1" applyFont="1" applyBorder="1" applyAlignment="1">
      <alignment horizontal="center"/>
    </xf>
    <xf numFmtId="165" fontId="12" fillId="0" borderId="0" xfId="0" applyNumberFormat="1" applyFont="1" applyAlignment="1">
      <alignment horizontal="center"/>
    </xf>
    <xf numFmtId="2" fontId="12" fillId="0" borderId="10" xfId="0" applyNumberFormat="1" applyFont="1" applyBorder="1" applyAlignment="1">
      <alignment horizontal="center"/>
    </xf>
    <xf numFmtId="3" fontId="12" fillId="0" borderId="14" xfId="0" applyNumberFormat="1" applyFont="1" applyBorder="1"/>
    <xf numFmtId="174" fontId="12" fillId="0" borderId="14" xfId="0" applyNumberFormat="1" applyFont="1" applyBorder="1"/>
    <xf numFmtId="0" fontId="12" fillId="0" borderId="2" xfId="0" applyFont="1" applyBorder="1"/>
    <xf numFmtId="174" fontId="12" fillId="0" borderId="2" xfId="0" applyNumberFormat="1" applyFont="1" applyBorder="1"/>
    <xf numFmtId="0" fontId="22" fillId="0" borderId="0" xfId="0" applyFont="1"/>
    <xf numFmtId="10" fontId="12" fillId="0" borderId="2" xfId="17" applyNumberFormat="1" applyFont="1" applyBorder="1"/>
    <xf numFmtId="10" fontId="12" fillId="0" borderId="2" xfId="17" applyNumberFormat="1" applyFont="1" applyFill="1" applyBorder="1"/>
    <xf numFmtId="10" fontId="12" fillId="0" borderId="2" xfId="0" applyNumberFormat="1" applyFont="1" applyBorder="1"/>
    <xf numFmtId="2" fontId="12" fillId="0" borderId="2" xfId="0" applyNumberFormat="1" applyFont="1" applyBorder="1"/>
    <xf numFmtId="3" fontId="12" fillId="0" borderId="11" xfId="0" applyNumberFormat="1" applyFont="1" applyBorder="1"/>
    <xf numFmtId="3" fontId="12" fillId="0" borderId="12" xfId="0" applyNumberFormat="1" applyFont="1" applyBorder="1"/>
    <xf numFmtId="0" fontId="14" fillId="4" borderId="0" xfId="0" applyFont="1" applyFill="1" applyAlignment="1">
      <alignment horizontal="center" vertical="center"/>
    </xf>
    <xf numFmtId="9" fontId="12" fillId="0" borderId="0" xfId="17" applyFont="1" applyFill="1"/>
    <xf numFmtId="165" fontId="12" fillId="0" borderId="0" xfId="17" applyNumberFormat="1" applyFont="1"/>
    <xf numFmtId="3" fontId="12" fillId="0" borderId="0" xfId="0" applyNumberFormat="1" applyFont="1" applyAlignment="1">
      <alignment horizontal="center"/>
    </xf>
    <xf numFmtId="5" fontId="12" fillId="0" borderId="0" xfId="0" applyNumberFormat="1" applyFont="1" applyAlignment="1">
      <alignment horizontal="center"/>
    </xf>
    <xf numFmtId="165" fontId="12" fillId="3" borderId="0" xfId="0" applyNumberFormat="1" applyFont="1" applyFill="1"/>
    <xf numFmtId="10" fontId="18" fillId="3" borderId="0" xfId="0" applyNumberFormat="1" applyFont="1" applyFill="1"/>
    <xf numFmtId="10" fontId="12" fillId="3" borderId="0" xfId="0" applyNumberFormat="1" applyFont="1" applyFill="1"/>
    <xf numFmtId="3" fontId="12" fillId="0" borderId="0" xfId="0" applyNumberFormat="1" applyFont="1" applyAlignment="1">
      <alignment horizontal="center" vertical="center"/>
    </xf>
    <xf numFmtId="165" fontId="12" fillId="0" borderId="0" xfId="17" applyNumberFormat="1" applyFont="1" applyFill="1"/>
    <xf numFmtId="170" fontId="12" fillId="0" borderId="0" xfId="0" applyNumberFormat="1" applyFont="1" applyAlignment="1">
      <alignment horizontal="center"/>
    </xf>
    <xf numFmtId="171" fontId="12" fillId="0" borderId="0" xfId="0" applyNumberFormat="1" applyFont="1" applyAlignment="1">
      <alignment horizontal="center"/>
    </xf>
    <xf numFmtId="165" fontId="13" fillId="0" borderId="0" xfId="0" applyNumberFormat="1" applyFont="1"/>
    <xf numFmtId="10" fontId="13" fillId="0" borderId="0" xfId="0" applyNumberFormat="1" applyFont="1"/>
    <xf numFmtId="10" fontId="13" fillId="0" borderId="0" xfId="17" applyNumberFormat="1" applyFont="1" applyFill="1"/>
    <xf numFmtId="9" fontId="12" fillId="0" borderId="0" xfId="0" applyNumberFormat="1" applyFont="1"/>
    <xf numFmtId="5" fontId="12" fillId="0" borderId="0" xfId="17" applyNumberFormat="1" applyFont="1"/>
    <xf numFmtId="165" fontId="13" fillId="0" borderId="0" xfId="17" applyNumberFormat="1" applyFont="1" applyFill="1"/>
    <xf numFmtId="0" fontId="12" fillId="0" borderId="0" xfId="17" applyNumberFormat="1" applyFont="1" applyFill="1"/>
    <xf numFmtId="174" fontId="12" fillId="0" borderId="0" xfId="17" quotePrefix="1" applyNumberFormat="1" applyFont="1" applyFill="1"/>
    <xf numFmtId="176" fontId="23" fillId="0" borderId="0" xfId="2" applyNumberFormat="1" applyFont="1" applyFill="1" applyBorder="1" applyAlignment="1"/>
    <xf numFmtId="176" fontId="12" fillId="0" borderId="0" xfId="2" applyNumberFormat="1" applyFont="1" applyFill="1" applyBorder="1" applyAlignment="1">
      <alignment horizontal="center" vertical="center"/>
    </xf>
    <xf numFmtId="176" fontId="18" fillId="0" borderId="0" xfId="2" applyNumberFormat="1" applyFont="1" applyFill="1" applyBorder="1" applyAlignment="1"/>
    <xf numFmtId="176" fontId="12" fillId="0" borderId="0" xfId="2" applyNumberFormat="1" applyFont="1"/>
    <xf numFmtId="176" fontId="12" fillId="3" borderId="0" xfId="2" applyNumberFormat="1" applyFont="1" applyFill="1"/>
    <xf numFmtId="174" fontId="24" fillId="0" borderId="0" xfId="0" applyNumberFormat="1" applyFont="1" applyAlignment="1">
      <alignment horizontal="center"/>
    </xf>
    <xf numFmtId="10" fontId="12" fillId="0" borderId="0" xfId="2" applyNumberFormat="1" applyFont="1"/>
    <xf numFmtId="3" fontId="19" fillId="0" borderId="0" xfId="0" applyNumberFormat="1" applyFont="1"/>
    <xf numFmtId="168" fontId="19" fillId="0" borderId="0" xfId="0" applyNumberFormat="1" applyFont="1"/>
    <xf numFmtId="174" fontId="19" fillId="0" borderId="0" xfId="0" applyNumberFormat="1" applyFont="1"/>
    <xf numFmtId="3" fontId="25" fillId="0" borderId="0" xfId="0" applyNumberFormat="1" applyFont="1"/>
    <xf numFmtId="9" fontId="12" fillId="0" borderId="0" xfId="17" applyFont="1" applyAlignment="1">
      <alignment horizontal="right"/>
    </xf>
    <xf numFmtId="5" fontId="26" fillId="0" borderId="0" xfId="0" applyNumberFormat="1" applyFont="1"/>
    <xf numFmtId="174" fontId="18" fillId="0" borderId="0" xfId="19" applyNumberFormat="1" applyFont="1" applyFill="1"/>
    <xf numFmtId="10" fontId="20" fillId="0" borderId="0" xfId="17" applyNumberFormat="1" applyFont="1" applyFill="1"/>
    <xf numFmtId="10" fontId="25" fillId="0" borderId="0" xfId="17" applyNumberFormat="1" applyFont="1" applyFill="1"/>
    <xf numFmtId="9" fontId="12" fillId="3" borderId="0" xfId="17" applyFont="1" applyFill="1"/>
    <xf numFmtId="175" fontId="12" fillId="0" borderId="0" xfId="19" applyNumberFormat="1" applyFont="1"/>
    <xf numFmtId="175" fontId="19" fillId="0" borderId="0" xfId="19" applyNumberFormat="1" applyFont="1"/>
    <xf numFmtId="9" fontId="12" fillId="0" borderId="0" xfId="17" applyFont="1" applyAlignment="1"/>
    <xf numFmtId="174" fontId="12" fillId="3" borderId="0" xfId="0" applyNumberFormat="1" applyFont="1" applyFill="1"/>
    <xf numFmtId="5" fontId="19" fillId="0" borderId="0" xfId="0" applyNumberFormat="1" applyFont="1"/>
    <xf numFmtId="168" fontId="12" fillId="0" borderId="0" xfId="17" applyNumberFormat="1" applyFont="1"/>
    <xf numFmtId="174" fontId="19" fillId="0" borderId="0" xfId="17" applyNumberFormat="1" applyFont="1"/>
    <xf numFmtId="165" fontId="12" fillId="3" borderId="0" xfId="17" applyNumberFormat="1" applyFont="1" applyFill="1"/>
    <xf numFmtId="3" fontId="27" fillId="0" borderId="0" xfId="20" applyNumberFormat="1"/>
    <xf numFmtId="3" fontId="14" fillId="0" borderId="0" xfId="0" applyNumberFormat="1" applyFont="1"/>
    <xf numFmtId="10" fontId="14" fillId="0" borderId="0" xfId="17" applyNumberFormat="1" applyFont="1" applyFill="1"/>
    <xf numFmtId="168" fontId="12" fillId="3" borderId="0" xfId="0" applyNumberFormat="1" applyFont="1" applyFill="1"/>
    <xf numFmtId="3" fontId="13" fillId="0" borderId="11" xfId="0" applyNumberFormat="1" applyFont="1" applyBorder="1"/>
    <xf numFmtId="10" fontId="18" fillId="0" borderId="12" xfId="17" applyNumberFormat="1" applyFont="1" applyFill="1" applyBorder="1"/>
    <xf numFmtId="10" fontId="18" fillId="0" borderId="13" xfId="17" applyNumberFormat="1" applyFont="1" applyFill="1" applyBorder="1"/>
    <xf numFmtId="3" fontId="14" fillId="4" borderId="0" xfId="0" applyNumberFormat="1" applyFont="1" applyFill="1" applyAlignment="1">
      <alignment horizontal="center"/>
    </xf>
    <xf numFmtId="174" fontId="18" fillId="0" borderId="0" xfId="2" applyNumberFormat="1" applyFont="1" applyFill="1"/>
    <xf numFmtId="0" fontId="12" fillId="0" borderId="4" xfId="0" applyFont="1" applyBorder="1"/>
    <xf numFmtId="5" fontId="14" fillId="0" borderId="0" xfId="17" applyNumberFormat="1" applyFont="1" applyFill="1"/>
    <xf numFmtId="4" fontId="8" fillId="0" borderId="0" xfId="0" applyNumberFormat="1" applyFont="1"/>
    <xf numFmtId="179" fontId="8" fillId="0" borderId="0" xfId="0" applyNumberFormat="1" applyFont="1"/>
    <xf numFmtId="168" fontId="9" fillId="0" borderId="0" xfId="0" applyNumberFormat="1" applyFont="1"/>
    <xf numFmtId="37" fontId="12" fillId="0" borderId="0" xfId="17" applyNumberFormat="1" applyFont="1" applyFill="1"/>
    <xf numFmtId="0" fontId="14" fillId="4" borderId="2" xfId="0" applyFont="1" applyFill="1" applyBorder="1"/>
    <xf numFmtId="0" fontId="14" fillId="4" borderId="0" xfId="0" applyFont="1" applyFill="1" applyAlignment="1">
      <alignment horizontal="center"/>
    </xf>
    <xf numFmtId="180" fontId="12" fillId="0" borderId="7" xfId="0" applyNumberFormat="1" applyFont="1" applyBorder="1"/>
    <xf numFmtId="180" fontId="12" fillId="0" borderId="8" xfId="0" applyNumberFormat="1" applyFont="1" applyBorder="1"/>
    <xf numFmtId="174" fontId="12" fillId="0" borderId="4" xfId="0" applyNumberFormat="1" applyFont="1" applyBorder="1"/>
    <xf numFmtId="174" fontId="12" fillId="0" borderId="5" xfId="0" applyNumberFormat="1" applyFont="1" applyBorder="1"/>
    <xf numFmtId="1" fontId="12" fillId="0" borderId="0" xfId="17" applyNumberFormat="1" applyFont="1" applyFill="1"/>
    <xf numFmtId="173" fontId="12" fillId="0" borderId="0" xfId="0" applyNumberFormat="1" applyFont="1"/>
    <xf numFmtId="172" fontId="12" fillId="0" borderId="0" xfId="0" applyNumberFormat="1" applyFont="1"/>
    <xf numFmtId="176" fontId="12" fillId="0" borderId="0" xfId="0" applyNumberFormat="1" applyFont="1"/>
    <xf numFmtId="1" fontId="12" fillId="0" borderId="0" xfId="2" applyNumberFormat="1" applyFont="1" applyFill="1"/>
    <xf numFmtId="164" fontId="12" fillId="0" borderId="0" xfId="0" applyNumberFormat="1" applyFont="1"/>
    <xf numFmtId="174" fontId="12" fillId="0" borderId="0" xfId="19" applyNumberFormat="1" applyFont="1" applyFill="1" applyBorder="1"/>
    <xf numFmtId="5" fontId="12" fillId="0" borderId="0" xfId="2" applyNumberFormat="1" applyFont="1" applyFill="1" applyBorder="1"/>
    <xf numFmtId="37" fontId="12" fillId="0" borderId="0" xfId="0" applyNumberFormat="1" applyFont="1" applyAlignment="1">
      <alignment horizontal="right"/>
    </xf>
    <xf numFmtId="38" fontId="12" fillId="0" borderId="0" xfId="2" applyNumberFormat="1" applyFont="1" applyFill="1"/>
    <xf numFmtId="175" fontId="12" fillId="0" borderId="0" xfId="19" applyNumberFormat="1" applyFont="1" applyFill="1"/>
    <xf numFmtId="0" fontId="20" fillId="0" borderId="0" xfId="0" applyFont="1"/>
    <xf numFmtId="10" fontId="20" fillId="0" borderId="0" xfId="0" applyNumberFormat="1" applyFont="1"/>
    <xf numFmtId="4" fontId="12" fillId="0" borderId="0" xfId="0" applyNumberFormat="1" applyFont="1"/>
    <xf numFmtId="0" fontId="12" fillId="0" borderId="3" xfId="0" applyFont="1" applyBorder="1" applyAlignment="1">
      <alignment horizontal="center" wrapText="1"/>
    </xf>
    <xf numFmtId="168" fontId="12" fillId="0" borderId="0" xfId="0" applyNumberFormat="1" applyFont="1" applyAlignment="1">
      <alignment horizontal="center"/>
    </xf>
    <xf numFmtId="174" fontId="12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3" fontId="14" fillId="4" borderId="17" xfId="0" applyNumberFormat="1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 vertical="center"/>
    </xf>
    <xf numFmtId="3" fontId="13" fillId="0" borderId="14" xfId="0" quotePrefix="1" applyNumberFormat="1" applyFont="1" applyBorder="1"/>
    <xf numFmtId="3" fontId="12" fillId="0" borderId="18" xfId="0" quotePrefix="1" applyNumberFormat="1" applyFont="1" applyBorder="1"/>
    <xf numFmtId="9" fontId="12" fillId="0" borderId="18" xfId="17" applyFont="1" applyBorder="1"/>
    <xf numFmtId="10" fontId="12" fillId="0" borderId="18" xfId="17" applyNumberFormat="1" applyFont="1" applyFill="1" applyBorder="1"/>
    <xf numFmtId="3" fontId="13" fillId="0" borderId="18" xfId="0" applyNumberFormat="1" applyFont="1" applyBorder="1"/>
    <xf numFmtId="174" fontId="12" fillId="0" borderId="18" xfId="0" applyNumberFormat="1" applyFont="1" applyBorder="1"/>
    <xf numFmtId="5" fontId="13" fillId="0" borderId="17" xfId="0" applyNumberFormat="1" applyFont="1" applyBorder="1"/>
    <xf numFmtId="174" fontId="12" fillId="0" borderId="17" xfId="0" applyNumberFormat="1" applyFont="1" applyBorder="1"/>
    <xf numFmtId="0" fontId="12" fillId="0" borderId="14" xfId="0" applyFont="1" applyBorder="1"/>
    <xf numFmtId="0" fontId="12" fillId="0" borderId="18" xfId="0" applyFont="1" applyBorder="1"/>
    <xf numFmtId="10" fontId="12" fillId="0" borderId="18" xfId="0" applyNumberFormat="1" applyFont="1" applyBorder="1"/>
    <xf numFmtId="0" fontId="7" fillId="0" borderId="0" xfId="0" applyFont="1" applyAlignment="1">
      <alignment horizontal="center"/>
    </xf>
    <xf numFmtId="3" fontId="7" fillId="0" borderId="0" xfId="0" applyNumberFormat="1" applyFont="1" applyAlignment="1">
      <alignment horizontal="center"/>
    </xf>
    <xf numFmtId="5" fontId="14" fillId="4" borderId="0" xfId="0" applyNumberFormat="1" applyFont="1" applyFill="1" applyAlignment="1">
      <alignment horizontal="center"/>
    </xf>
    <xf numFmtId="3" fontId="7" fillId="4" borderId="0" xfId="0" applyNumberFormat="1" applyFont="1" applyFill="1"/>
    <xf numFmtId="165" fontId="14" fillId="4" borderId="0" xfId="0" applyNumberFormat="1" applyFont="1" applyFill="1" applyAlignment="1">
      <alignment horizontal="center"/>
    </xf>
    <xf numFmtId="174" fontId="7" fillId="4" borderId="0" xfId="0" applyNumberFormat="1" applyFont="1" applyFill="1"/>
    <xf numFmtId="174" fontId="12" fillId="0" borderId="13" xfId="0" applyNumberFormat="1" applyFont="1" applyBorder="1"/>
    <xf numFmtId="3" fontId="12" fillId="0" borderId="17" xfId="0" applyNumberFormat="1" applyFont="1" applyBorder="1"/>
    <xf numFmtId="0" fontId="14" fillId="4" borderId="19" xfId="0" applyFont="1" applyFill="1" applyBorder="1" applyAlignment="1">
      <alignment horizontal="center" vertical="center"/>
    </xf>
    <xf numFmtId="174" fontId="12" fillId="0" borderId="20" xfId="0" applyNumberFormat="1" applyFont="1" applyBorder="1"/>
    <xf numFmtId="174" fontId="12" fillId="0" borderId="21" xfId="0" applyNumberFormat="1" applyFont="1" applyBorder="1"/>
    <xf numFmtId="10" fontId="12" fillId="0" borderId="22" xfId="17" applyNumberFormat="1" applyFont="1" applyFill="1" applyBorder="1"/>
    <xf numFmtId="3" fontId="12" fillId="0" borderId="20" xfId="0" applyNumberFormat="1" applyFont="1" applyBorder="1"/>
    <xf numFmtId="174" fontId="12" fillId="0" borderId="22" xfId="0" applyNumberFormat="1" applyFont="1" applyBorder="1"/>
    <xf numFmtId="165" fontId="12" fillId="0" borderId="20" xfId="0" applyNumberFormat="1" applyFont="1" applyBorder="1"/>
    <xf numFmtId="174" fontId="12" fillId="0" borderId="19" xfId="0" applyNumberFormat="1" applyFont="1" applyBorder="1"/>
    <xf numFmtId="10" fontId="12" fillId="0" borderId="22" xfId="0" applyNumberFormat="1" applyFont="1" applyBorder="1"/>
    <xf numFmtId="37" fontId="12" fillId="0" borderId="20" xfId="0" applyNumberFormat="1" applyFont="1" applyBorder="1"/>
    <xf numFmtId="5" fontId="12" fillId="0" borderId="20" xfId="0" applyNumberFormat="1" applyFont="1" applyBorder="1"/>
    <xf numFmtId="5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4" fillId="4" borderId="21" xfId="0" applyFont="1" applyFill="1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/>
    </xf>
    <xf numFmtId="168" fontId="12" fillId="0" borderId="7" xfId="0" applyNumberFormat="1" applyFont="1" applyBorder="1" applyAlignment="1">
      <alignment horizontal="center"/>
    </xf>
  </cellXfs>
  <cellStyles count="21">
    <cellStyle name="Availability" xfId="1" xr:uid="{00000000-0005-0000-0000-000000000000}"/>
    <cellStyle name="Comma" xfId="2" builtinId="3"/>
    <cellStyle name="Comma  - Style1" xfId="3" xr:uid="{00000000-0005-0000-0000-000002000000}"/>
    <cellStyle name="Comma  - Style2" xfId="4" xr:uid="{00000000-0005-0000-0000-000003000000}"/>
    <cellStyle name="Comma  - Style3" xfId="5" xr:uid="{00000000-0005-0000-0000-000004000000}"/>
    <cellStyle name="Comma  - Style4" xfId="6" xr:uid="{00000000-0005-0000-0000-000005000000}"/>
    <cellStyle name="Comma  - Style5" xfId="7" xr:uid="{00000000-0005-0000-0000-000006000000}"/>
    <cellStyle name="Comma  - Style6" xfId="8" xr:uid="{00000000-0005-0000-0000-000007000000}"/>
    <cellStyle name="Comma  - Style7" xfId="9" xr:uid="{00000000-0005-0000-0000-000008000000}"/>
    <cellStyle name="Comma  - Style8" xfId="10" xr:uid="{00000000-0005-0000-0000-000009000000}"/>
    <cellStyle name="Currency" xfId="19" builtinId="4"/>
    <cellStyle name="Hyperlink" xfId="20" builtinId="8"/>
    <cellStyle name="Input Titles" xfId="11" xr:uid="{00000000-0005-0000-0000-00000A000000}"/>
    <cellStyle name="Input%" xfId="12" xr:uid="{00000000-0005-0000-0000-00000B000000}"/>
    <cellStyle name="InputDate" xfId="13" xr:uid="{00000000-0005-0000-0000-00000C000000}"/>
    <cellStyle name="InputDecimal" xfId="14" xr:uid="{00000000-0005-0000-0000-00000D000000}"/>
    <cellStyle name="InputValue" xfId="15" xr:uid="{00000000-0005-0000-0000-00000E000000}"/>
    <cellStyle name="Normal" xfId="0" builtinId="0"/>
    <cellStyle name="Normal - Style1" xfId="16" xr:uid="{00000000-0005-0000-0000-000010000000}"/>
    <cellStyle name="Percent" xfId="17" builtinId="5"/>
    <cellStyle name="Role" xfId="18" xr:uid="{00000000-0005-0000-0000-000012000000}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8D6418"/>
      <color rgb="FF0064FF"/>
      <color rgb="FF000A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grandviewresearch.com/industry-analysis/us-online-gambling-market-report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s://www.grandviewresearch.com/industry-analysis/us-online-gambling-market-repo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3203125" defaultRowHeight="13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DB197-FE38-4C4F-9C9C-4B96388B0B7D}">
  <dimension ref="A1:AL235"/>
  <sheetViews>
    <sheetView zoomScale="67" zoomScaleNormal="75" workbookViewId="0">
      <pane ySplit="6" topLeftCell="A196" activePane="bottomLeft" state="frozen"/>
      <selection pane="bottomLeft" activeCell="H205" sqref="H205"/>
    </sheetView>
  </sheetViews>
  <sheetFormatPr baseColWidth="10" defaultColWidth="9.33203125" defaultRowHeight="22" customHeight="1"/>
  <cols>
    <col min="1" max="1" width="44.33203125" style="7" customWidth="1"/>
    <col min="2" max="2" width="70.5" style="7" customWidth="1"/>
    <col min="3" max="3" width="14.1640625" style="7" customWidth="1"/>
    <col min="4" max="4" width="12.83203125" style="7" customWidth="1"/>
    <col min="5" max="5" width="15.5" style="7" customWidth="1"/>
    <col min="6" max="6" width="14.1640625" style="7" customWidth="1"/>
    <col min="7" max="7" width="12.83203125" style="7" customWidth="1"/>
    <col min="8" max="8" width="14.83203125" style="7" customWidth="1"/>
    <col min="9" max="9" width="14.5" style="7" customWidth="1"/>
    <col min="10" max="10" width="12.83203125" style="7" customWidth="1"/>
    <col min="11" max="12" width="14" style="7" customWidth="1"/>
    <col min="13" max="15" width="12.83203125" style="7" customWidth="1"/>
    <col min="16" max="16" width="38.6640625" style="7" customWidth="1"/>
    <col min="17" max="20" width="12.83203125" style="7" customWidth="1"/>
    <col min="21" max="21" width="13.33203125" style="7" bestFit="1" customWidth="1"/>
    <col min="22" max="25" width="12.83203125" style="7" customWidth="1"/>
    <col min="26" max="26" width="14.1640625" style="7" bestFit="1" customWidth="1"/>
    <col min="27" max="16384" width="9.33203125" style="7"/>
  </cols>
  <sheetData>
    <row r="1" spans="1:38" s="1" customFormat="1" ht="22" customHeight="1">
      <c r="A1" s="53" t="s">
        <v>0</v>
      </c>
      <c r="B1" s="53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</row>
    <row r="2" spans="1:38" s="1" customFormat="1" ht="22" customHeight="1">
      <c r="A2" s="54" t="s">
        <v>64</v>
      </c>
      <c r="B2" s="54"/>
      <c r="C2" s="54"/>
      <c r="D2" s="54"/>
      <c r="E2" s="54"/>
      <c r="F2" s="54"/>
      <c r="G2" s="56"/>
      <c r="H2" s="56"/>
      <c r="I2" s="54"/>
      <c r="J2" s="56"/>
      <c r="K2" s="56"/>
      <c r="L2" s="54"/>
      <c r="M2" s="54"/>
      <c r="N2" s="54"/>
      <c r="O2" s="56"/>
      <c r="P2" s="56"/>
      <c r="Q2" s="54"/>
      <c r="R2" s="54"/>
      <c r="S2" s="54"/>
      <c r="T2" s="56"/>
      <c r="U2" s="159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</row>
    <row r="3" spans="1:38" s="1" customFormat="1" ht="22" customHeight="1">
      <c r="A3" s="54" t="s">
        <v>65</v>
      </c>
      <c r="B3" s="54"/>
      <c r="C3" s="54"/>
      <c r="D3" s="54"/>
      <c r="E3" s="54"/>
      <c r="F3" s="54"/>
      <c r="G3" s="56"/>
      <c r="H3" s="56"/>
      <c r="I3" s="54"/>
      <c r="J3" s="56"/>
      <c r="K3" s="56"/>
      <c r="L3" s="54"/>
      <c r="M3" s="54"/>
      <c r="N3" s="54"/>
      <c r="O3" s="56"/>
      <c r="P3" s="56"/>
      <c r="Q3" s="54"/>
      <c r="R3" s="54"/>
      <c r="S3" s="54"/>
      <c r="T3" s="56"/>
      <c r="U3" s="56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</row>
    <row r="4" spans="1:38" s="1" customFormat="1" ht="22" customHeight="1">
      <c r="A4" s="54" t="s">
        <v>4</v>
      </c>
      <c r="B4" s="54"/>
      <c r="C4" s="54"/>
      <c r="D4" s="54"/>
      <c r="E4" s="54"/>
      <c r="F4" s="54"/>
      <c r="G4" s="56"/>
      <c r="H4" s="56"/>
      <c r="I4" s="54"/>
      <c r="J4" s="56"/>
      <c r="K4" s="56"/>
      <c r="L4" s="54"/>
      <c r="M4" s="54"/>
      <c r="N4" s="54"/>
      <c r="O4" s="56"/>
      <c r="P4" s="56"/>
      <c r="Q4" s="54"/>
      <c r="R4" s="54"/>
      <c r="S4" s="54"/>
      <c r="T4" s="56"/>
      <c r="U4" s="56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</row>
    <row r="5" spans="1:38" s="1" customFormat="1" ht="22" customHeight="1">
      <c r="A5" s="54" t="s">
        <v>119</v>
      </c>
      <c r="B5" s="54"/>
      <c r="C5" s="54"/>
      <c r="D5" s="54"/>
      <c r="E5" s="54"/>
      <c r="F5" s="54"/>
      <c r="G5" s="56"/>
      <c r="H5" s="56"/>
      <c r="I5" s="54"/>
      <c r="J5" s="56"/>
      <c r="K5" s="56"/>
      <c r="L5" s="54"/>
      <c r="M5" s="54"/>
      <c r="N5" s="54"/>
      <c r="O5" s="56"/>
      <c r="P5" s="56"/>
      <c r="Q5" s="54"/>
      <c r="R5" s="54"/>
      <c r="S5" s="54"/>
      <c r="T5" s="56"/>
      <c r="U5" s="56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</row>
    <row r="6" spans="1:38" s="1" customFormat="1" ht="22" customHeight="1">
      <c r="A6" s="149" t="s">
        <v>2</v>
      </c>
      <c r="B6" s="149" t="s">
        <v>3</v>
      </c>
      <c r="C6" s="149">
        <v>2020</v>
      </c>
      <c r="D6" s="149">
        <v>2021</v>
      </c>
      <c r="E6" s="149">
        <v>2022</v>
      </c>
      <c r="F6" s="149">
        <v>2023</v>
      </c>
      <c r="G6" s="149">
        <v>2024</v>
      </c>
      <c r="H6" s="149">
        <v>2025</v>
      </c>
      <c r="I6" s="149">
        <v>2026</v>
      </c>
      <c r="J6" s="149">
        <v>2027</v>
      </c>
      <c r="K6" s="149">
        <v>2028</v>
      </c>
      <c r="L6" s="149">
        <v>2029</v>
      </c>
      <c r="M6" s="149">
        <v>2030</v>
      </c>
      <c r="N6" s="149">
        <v>2031</v>
      </c>
      <c r="O6" s="160"/>
      <c r="P6" s="160"/>
      <c r="Q6" s="160"/>
      <c r="R6" s="160"/>
      <c r="S6" s="54"/>
      <c r="T6" s="160"/>
      <c r="U6" s="160"/>
      <c r="V6" s="160"/>
      <c r="W6" s="160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</row>
    <row r="7" spans="1:38" s="1" customFormat="1" ht="22" customHeight="1">
      <c r="A7" s="57" t="s">
        <v>66</v>
      </c>
      <c r="B7" s="54" t="s">
        <v>71</v>
      </c>
      <c r="C7" s="157" t="s">
        <v>90</v>
      </c>
      <c r="D7" s="157" t="s">
        <v>90</v>
      </c>
      <c r="E7" s="157" t="s">
        <v>90</v>
      </c>
      <c r="F7" s="157" t="s">
        <v>90</v>
      </c>
      <c r="G7" s="157" t="s">
        <v>90</v>
      </c>
      <c r="H7" s="157" t="s">
        <v>90</v>
      </c>
      <c r="I7" s="155">
        <v>0</v>
      </c>
      <c r="J7" s="155">
        <v>1.4999999999999999E-2</v>
      </c>
      <c r="K7" s="79">
        <f>$J$7</f>
        <v>1.4999999999999999E-2</v>
      </c>
      <c r="L7" s="79">
        <f t="shared" ref="L7:N7" si="0">$J$7</f>
        <v>1.4999999999999999E-2</v>
      </c>
      <c r="M7" s="79">
        <f t="shared" si="0"/>
        <v>1.4999999999999999E-2</v>
      </c>
      <c r="N7" s="79">
        <f t="shared" si="0"/>
        <v>1.4999999999999999E-2</v>
      </c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</row>
    <row r="8" spans="1:38" s="1" customFormat="1" ht="22" customHeight="1">
      <c r="A8" s="54"/>
      <c r="B8" s="64" t="s">
        <v>72</v>
      </c>
      <c r="C8" s="157" t="s">
        <v>90</v>
      </c>
      <c r="D8" s="157" t="s">
        <v>90</v>
      </c>
      <c r="E8" s="157" t="s">
        <v>90</v>
      </c>
      <c r="F8" s="157" t="s">
        <v>90</v>
      </c>
      <c r="G8" s="157" t="s">
        <v>90</v>
      </c>
      <c r="H8" s="157" t="s">
        <v>90</v>
      </c>
      <c r="I8" s="154">
        <v>5.0000000000000001E-3</v>
      </c>
      <c r="J8" s="154">
        <v>0.02</v>
      </c>
      <c r="K8" s="79">
        <f>$J$8</f>
        <v>0.02</v>
      </c>
      <c r="L8" s="79">
        <f t="shared" ref="L8:N8" si="1">$J$8</f>
        <v>0.02</v>
      </c>
      <c r="M8" s="79">
        <f t="shared" si="1"/>
        <v>0.02</v>
      </c>
      <c r="N8" s="79">
        <f t="shared" si="1"/>
        <v>0.02</v>
      </c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</row>
    <row r="9" spans="1:38" s="2" customFormat="1" ht="22" customHeight="1">
      <c r="A9" s="64"/>
      <c r="B9" s="64" t="s">
        <v>93</v>
      </c>
      <c r="C9" s="157" t="s">
        <v>90</v>
      </c>
      <c r="D9" s="157" t="s">
        <v>90</v>
      </c>
      <c r="E9" s="157" t="s">
        <v>90</v>
      </c>
      <c r="F9" s="157" t="s">
        <v>90</v>
      </c>
      <c r="G9" s="157" t="s">
        <v>90</v>
      </c>
      <c r="H9" s="157" t="s">
        <v>90</v>
      </c>
      <c r="I9" s="64">
        <v>0</v>
      </c>
      <c r="J9" s="154">
        <v>5.0000000000000001E-3</v>
      </c>
      <c r="K9" s="64">
        <v>0</v>
      </c>
      <c r="L9" s="156">
        <v>7.4999999999999997E-3</v>
      </c>
      <c r="M9" s="64">
        <v>0</v>
      </c>
      <c r="N9" s="64">
        <v>0</v>
      </c>
      <c r="O9" s="64"/>
      <c r="P9" s="71"/>
      <c r="Q9" s="71"/>
      <c r="R9" s="71"/>
      <c r="S9" s="71"/>
      <c r="T9" s="71"/>
      <c r="U9" s="71"/>
      <c r="V9" s="71"/>
      <c r="W9" s="71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</row>
    <row r="10" spans="1:38" s="1" customFormat="1" ht="22" customHeight="1">
      <c r="A10" s="64"/>
      <c r="B10" s="64" t="s">
        <v>91</v>
      </c>
      <c r="C10" s="157" t="s">
        <v>90</v>
      </c>
      <c r="D10" s="157" t="s">
        <v>90</v>
      </c>
      <c r="E10" s="157" t="s">
        <v>90</v>
      </c>
      <c r="F10" s="157" t="s">
        <v>90</v>
      </c>
      <c r="G10" s="157" t="s">
        <v>90</v>
      </c>
      <c r="H10" s="157" t="s">
        <v>90</v>
      </c>
      <c r="I10" s="158">
        <f>SUM(I7:I9)</f>
        <v>5.0000000000000001E-3</v>
      </c>
      <c r="J10" s="158">
        <f>SUM(J7:J9)</f>
        <v>0.04</v>
      </c>
      <c r="K10" s="158">
        <f>SUM(K7:K9)</f>
        <v>3.5000000000000003E-2</v>
      </c>
      <c r="L10" s="158">
        <f t="shared" ref="L10:N10" si="2">SUM(L7:L9)</f>
        <v>4.2500000000000003E-2</v>
      </c>
      <c r="M10" s="158">
        <f t="shared" si="2"/>
        <v>3.5000000000000003E-2</v>
      </c>
      <c r="N10" s="158">
        <f t="shared" si="2"/>
        <v>3.5000000000000003E-2</v>
      </c>
      <c r="O10" s="71"/>
      <c r="P10" s="71"/>
      <c r="Q10" s="71"/>
      <c r="R10" s="71"/>
      <c r="S10" s="71"/>
      <c r="T10" s="71"/>
      <c r="U10" s="71"/>
      <c r="V10" s="71"/>
      <c r="W10" s="71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</row>
    <row r="11" spans="1:38" s="1" customFormat="1" ht="22" customHeight="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71"/>
      <c r="P11" s="71"/>
      <c r="Q11" s="71"/>
      <c r="R11" s="71"/>
      <c r="S11" s="71"/>
      <c r="T11" s="71"/>
      <c r="U11" s="71"/>
      <c r="V11" s="71"/>
      <c r="W11" s="71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</row>
    <row r="12" spans="1:38" s="1" customFormat="1" ht="22" customHeight="1">
      <c r="A12" s="54" t="s">
        <v>94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71"/>
      <c r="P12" s="71"/>
      <c r="Q12" s="71"/>
      <c r="R12" s="71"/>
      <c r="S12" s="71"/>
      <c r="T12" s="71"/>
      <c r="U12" s="71"/>
      <c r="V12" s="71"/>
      <c r="W12" s="71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</row>
    <row r="13" spans="1:38" s="1" customFormat="1" ht="22" customHeight="1">
      <c r="A13" s="152" t="s">
        <v>70</v>
      </c>
      <c r="B13" s="54" t="s">
        <v>82</v>
      </c>
      <c r="C13" s="71">
        <v>2001</v>
      </c>
      <c r="D13" s="71">
        <v>3587</v>
      </c>
      <c r="E13" s="71">
        <v>5804</v>
      </c>
      <c r="F13" s="71">
        <v>6215</v>
      </c>
      <c r="G13" s="71">
        <v>6028</v>
      </c>
      <c r="H13" s="71">
        <v>6127</v>
      </c>
      <c r="I13" s="83">
        <f>H13*(1+I10)</f>
        <v>6157.6349999999993</v>
      </c>
      <c r="J13" s="83">
        <f t="shared" ref="J13:N13" si="3">I13*(1+J10)</f>
        <v>6403.9403999999995</v>
      </c>
      <c r="K13" s="83">
        <f t="shared" si="3"/>
        <v>6628.0783139999994</v>
      </c>
      <c r="L13" s="83">
        <f t="shared" si="3"/>
        <v>6909.7716423449992</v>
      </c>
      <c r="M13" s="83">
        <f t="shared" si="3"/>
        <v>7151.6136498270735</v>
      </c>
      <c r="N13" s="83">
        <f t="shared" si="3"/>
        <v>7401.9201275710202</v>
      </c>
      <c r="O13" s="71"/>
      <c r="P13" s="71"/>
      <c r="Q13" s="71"/>
      <c r="R13" s="71"/>
      <c r="S13" s="71"/>
      <c r="T13" s="71"/>
      <c r="U13" s="71"/>
      <c r="V13" s="71"/>
      <c r="W13" s="71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</row>
    <row r="14" spans="1:38" s="1" customFormat="1" ht="22" customHeight="1">
      <c r="A14" s="136"/>
      <c r="B14" s="64" t="s">
        <v>67</v>
      </c>
      <c r="C14" s="72">
        <f>(C13-3526)/3526</f>
        <v>-0.43250141803743619</v>
      </c>
      <c r="D14" s="72">
        <f>(D13-C13)/C13</f>
        <v>0.79260369815092457</v>
      </c>
      <c r="E14" s="72">
        <f t="shared" ref="E14:H14" si="4">(E13-D13)/D13</f>
        <v>0.61806523557290216</v>
      </c>
      <c r="F14" s="72">
        <f t="shared" si="4"/>
        <v>7.08132322536182E-2</v>
      </c>
      <c r="G14" s="72">
        <f t="shared" si="4"/>
        <v>-3.0088495575221239E-2</v>
      </c>
      <c r="H14" s="72">
        <f t="shared" si="4"/>
        <v>1.6423357664233577E-2</v>
      </c>
      <c r="I14" s="151">
        <f t="shared" ref="I14" si="5">(I13-H13)/H13</f>
        <v>4.9999999999998873E-3</v>
      </c>
      <c r="J14" s="151">
        <f t="shared" ref="J14" si="6">(J13-I13)/I13</f>
        <v>4.0000000000000036E-2</v>
      </c>
      <c r="K14" s="151">
        <f t="shared" ref="K14" si="7">(K13-J13)/J13</f>
        <v>3.4999999999999989E-2</v>
      </c>
      <c r="L14" s="151">
        <f t="shared" ref="L14" si="8">(L13-K13)/K13</f>
        <v>4.2499999999999975E-2</v>
      </c>
      <c r="M14" s="151">
        <f t="shared" ref="M14" si="9">(M13-L13)/L13</f>
        <v>3.4999999999999892E-2</v>
      </c>
      <c r="N14" s="151">
        <f t="shared" ref="N14" si="10">(N13-M13)/M13</f>
        <v>3.4999999999999885E-2</v>
      </c>
      <c r="O14" s="71"/>
      <c r="P14" s="71"/>
      <c r="Q14" s="71"/>
      <c r="R14" s="71"/>
      <c r="S14" s="71"/>
      <c r="T14" s="71"/>
      <c r="U14" s="71"/>
      <c r="V14" s="71"/>
      <c r="W14" s="71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</row>
    <row r="15" spans="1:38" s="1" customFormat="1" ht="22" customHeight="1">
      <c r="A15" s="152"/>
      <c r="B15" s="54" t="s">
        <v>68</v>
      </c>
      <c r="C15" s="84">
        <v>0.23499999999999999</v>
      </c>
      <c r="D15" s="79">
        <v>0.246</v>
      </c>
      <c r="E15" s="79">
        <v>0.24</v>
      </c>
      <c r="F15" s="79">
        <v>0.26300000000000001</v>
      </c>
      <c r="G15" s="79">
        <v>0.24399999999999999</v>
      </c>
      <c r="H15" s="79">
        <v>0.252</v>
      </c>
      <c r="I15" s="155">
        <f>AVERAGE(C15:H15)</f>
        <v>0.24666666666666667</v>
      </c>
      <c r="J15" s="79">
        <f>$I$15</f>
        <v>0.24666666666666667</v>
      </c>
      <c r="K15" s="79">
        <f>$I$15</f>
        <v>0.24666666666666667</v>
      </c>
      <c r="L15" s="79">
        <f>$I$15</f>
        <v>0.24666666666666667</v>
      </c>
      <c r="M15" s="79">
        <f>$I$15</f>
        <v>0.24666666666666667</v>
      </c>
      <c r="N15" s="79">
        <f>$I$15</f>
        <v>0.24666666666666667</v>
      </c>
      <c r="O15" s="71"/>
      <c r="P15" s="71"/>
      <c r="Q15" s="71"/>
      <c r="R15" s="71"/>
      <c r="S15" s="71"/>
      <c r="T15" s="71"/>
      <c r="U15" s="71"/>
      <c r="V15" s="71"/>
      <c r="W15" s="71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</row>
    <row r="16" spans="1:38" s="1" customFormat="1" ht="22" customHeight="1">
      <c r="A16" s="152"/>
      <c r="B16" s="54" t="s">
        <v>83</v>
      </c>
      <c r="C16" s="71">
        <f>C13*C15</f>
        <v>470.23499999999996</v>
      </c>
      <c r="D16" s="71">
        <f>D13*D15</f>
        <v>882.40200000000004</v>
      </c>
      <c r="E16" s="71">
        <f t="shared" ref="E16:H16" si="11">E13*E15</f>
        <v>1392.96</v>
      </c>
      <c r="F16" s="71">
        <f t="shared" si="11"/>
        <v>1634.5450000000001</v>
      </c>
      <c r="G16" s="71">
        <f t="shared" si="11"/>
        <v>1470.8319999999999</v>
      </c>
      <c r="H16" s="71">
        <f t="shared" si="11"/>
        <v>1544.0039999999999</v>
      </c>
      <c r="I16" s="71">
        <f t="shared" ref="I16" si="12">I13*I15</f>
        <v>1518.8833</v>
      </c>
      <c r="J16" s="71">
        <f t="shared" ref="J16" si="13">J13*J15</f>
        <v>1579.6386319999999</v>
      </c>
      <c r="K16" s="71">
        <f t="shared" ref="K16" si="14">K13*K15</f>
        <v>1634.9259841199998</v>
      </c>
      <c r="L16" s="71">
        <f t="shared" ref="L16" si="15">L13*L15</f>
        <v>1704.4103384450998</v>
      </c>
      <c r="M16" s="71">
        <f t="shared" ref="M16" si="16">M13*M15</f>
        <v>1764.0647002906783</v>
      </c>
      <c r="N16" s="71">
        <f t="shared" ref="N16" si="17">N13*N15</f>
        <v>1825.8069648008518</v>
      </c>
      <c r="O16" s="71"/>
      <c r="P16" s="71"/>
      <c r="Q16" s="71"/>
      <c r="R16" s="71"/>
      <c r="S16" s="71"/>
      <c r="T16" s="71"/>
      <c r="U16" s="71"/>
      <c r="V16" s="71"/>
      <c r="W16" s="71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</row>
    <row r="17" spans="1:38" s="1" customFormat="1" ht="22" customHeight="1">
      <c r="A17" s="152"/>
      <c r="B17" s="54"/>
      <c r="C17" s="54"/>
      <c r="D17" s="54"/>
      <c r="E17" s="54"/>
      <c r="F17" s="54"/>
      <c r="G17" s="54"/>
      <c r="H17" s="54"/>
      <c r="I17" s="54"/>
      <c r="J17" s="54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</row>
    <row r="18" spans="1:38" s="1" customFormat="1" ht="22" customHeight="1">
      <c r="A18" s="152" t="s">
        <v>73</v>
      </c>
      <c r="B18" s="54" t="s">
        <v>84</v>
      </c>
      <c r="C18" s="71">
        <v>6904</v>
      </c>
      <c r="D18" s="71">
        <v>15089</v>
      </c>
      <c r="E18" s="71">
        <v>22812</v>
      </c>
      <c r="F18" s="71">
        <v>23920</v>
      </c>
      <c r="G18" s="71">
        <v>23840</v>
      </c>
      <c r="H18" s="71">
        <v>24565</v>
      </c>
      <c r="I18" s="71">
        <f t="shared" ref="I18:N18" si="18">H18*(1+I10)</f>
        <v>24687.824999999997</v>
      </c>
      <c r="J18" s="71">
        <f t="shared" si="18"/>
        <v>25675.337999999996</v>
      </c>
      <c r="K18" s="71">
        <f t="shared" si="18"/>
        <v>26573.974829999996</v>
      </c>
      <c r="L18" s="71">
        <f t="shared" si="18"/>
        <v>27703.368760274996</v>
      </c>
      <c r="M18" s="71">
        <f t="shared" si="18"/>
        <v>28672.986666884619</v>
      </c>
      <c r="N18" s="71">
        <f t="shared" si="18"/>
        <v>29676.54120022558</v>
      </c>
      <c r="O18" s="71"/>
      <c r="P18" s="71"/>
      <c r="Q18" s="71"/>
      <c r="R18" s="71"/>
      <c r="S18" s="71"/>
      <c r="T18" s="71"/>
      <c r="U18" s="71"/>
      <c r="V18" s="71"/>
      <c r="W18" s="71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</row>
    <row r="19" spans="1:38" s="2" customFormat="1" ht="22" customHeight="1">
      <c r="A19" s="152"/>
      <c r="B19" s="54" t="s">
        <v>69</v>
      </c>
      <c r="C19" s="72">
        <f>(C18-12874)/12874</f>
        <v>-0.46372533789032155</v>
      </c>
      <c r="D19" s="72">
        <f>(D18-C18)/C18</f>
        <v>1.1855446118192352</v>
      </c>
      <c r="E19" s="72">
        <f t="shared" ref="E19:H19" si="19">(E18-D18)/D18</f>
        <v>0.51182980979521508</v>
      </c>
      <c r="F19" s="72">
        <f t="shared" si="19"/>
        <v>4.8570927581974399E-2</v>
      </c>
      <c r="G19" s="151">
        <f t="shared" si="19"/>
        <v>-3.3444816053511705E-3</v>
      </c>
      <c r="H19" s="72">
        <f t="shared" si="19"/>
        <v>3.0411073825503357E-2</v>
      </c>
      <c r="I19" s="151">
        <f t="shared" ref="I19" si="20">(I18-H18)/H18</f>
        <v>4.9999999999998813E-3</v>
      </c>
      <c r="J19" s="151">
        <f t="shared" ref="J19" si="21">(J18-I18)/I18</f>
        <v>3.9999999999999966E-2</v>
      </c>
      <c r="K19" s="151">
        <f t="shared" ref="K19" si="22">(K18-J18)/J18</f>
        <v>3.4999999999999983E-2</v>
      </c>
      <c r="L19" s="151">
        <f t="shared" ref="L19" si="23">(L18-K18)/K18</f>
        <v>4.2500000000000024E-2</v>
      </c>
      <c r="M19" s="151">
        <f t="shared" ref="M19" si="24">(M18-L18)/L18</f>
        <v>3.4999999999999927E-2</v>
      </c>
      <c r="N19" s="151">
        <f t="shared" ref="N19" si="25">(N18-M18)/M18</f>
        <v>3.4999999999999976E-2</v>
      </c>
      <c r="O19" s="71"/>
      <c r="P19" s="71"/>
      <c r="Q19" s="71"/>
      <c r="R19" s="71"/>
      <c r="S19" s="71"/>
      <c r="T19" s="71"/>
      <c r="U19" s="71"/>
      <c r="V19" s="71"/>
      <c r="W19" s="71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</row>
    <row r="20" spans="1:38" s="4" customFormat="1" ht="22" customHeight="1">
      <c r="A20" s="152"/>
      <c r="B20" s="54" t="s">
        <v>76</v>
      </c>
      <c r="C20" s="79">
        <v>9.4E-2</v>
      </c>
      <c r="D20" s="79">
        <v>9.4E-2</v>
      </c>
      <c r="E20" s="79">
        <v>9.2999999999999999E-2</v>
      </c>
      <c r="F20" s="79">
        <v>9.2999999999999999E-2</v>
      </c>
      <c r="G20" s="79">
        <v>9.4E-2</v>
      </c>
      <c r="H20" s="79">
        <v>9.4E-2</v>
      </c>
      <c r="I20" s="156">
        <f>AVERAGE(C20:H20)</f>
        <v>9.3666666666666662E-2</v>
      </c>
      <c r="J20" s="79">
        <f>$I$20</f>
        <v>9.3666666666666662E-2</v>
      </c>
      <c r="K20" s="79">
        <f>$I$20</f>
        <v>9.3666666666666662E-2</v>
      </c>
      <c r="L20" s="79">
        <f>$I$20</f>
        <v>9.3666666666666662E-2</v>
      </c>
      <c r="M20" s="79">
        <f>$I$20</f>
        <v>9.3666666666666662E-2</v>
      </c>
      <c r="N20" s="79">
        <f>$I$20</f>
        <v>9.3666666666666662E-2</v>
      </c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</row>
    <row r="21" spans="1:38" s="4" customFormat="1" ht="22" customHeight="1">
      <c r="A21" s="152"/>
      <c r="B21" s="54" t="s">
        <v>85</v>
      </c>
      <c r="C21" s="71">
        <f>C18*C20</f>
        <v>648.976</v>
      </c>
      <c r="D21" s="71">
        <f t="shared" ref="D21:H21" si="26">D18*D20</f>
        <v>1418.366</v>
      </c>
      <c r="E21" s="71">
        <f t="shared" si="26"/>
        <v>2121.5160000000001</v>
      </c>
      <c r="F21" s="71">
        <f t="shared" si="26"/>
        <v>2224.56</v>
      </c>
      <c r="G21" s="71">
        <f t="shared" si="26"/>
        <v>2240.96</v>
      </c>
      <c r="H21" s="71">
        <f t="shared" si="26"/>
        <v>2309.11</v>
      </c>
      <c r="I21" s="71">
        <f t="shared" ref="I21" si="27">I18*I20</f>
        <v>2312.4262749999998</v>
      </c>
      <c r="J21" s="71">
        <f t="shared" ref="J21" si="28">J18*J20</f>
        <v>2404.9233259999996</v>
      </c>
      <c r="K21" s="71">
        <f t="shared" ref="K21" si="29">K18*K20</f>
        <v>2489.0956424099995</v>
      </c>
      <c r="L21" s="71">
        <f t="shared" ref="L21" si="30">L18*L20</f>
        <v>2594.8822072124244</v>
      </c>
      <c r="M21" s="71">
        <f t="shared" ref="M21" si="31">M18*M20</f>
        <v>2685.7030844648593</v>
      </c>
      <c r="N21" s="71">
        <f t="shared" ref="N21" si="32">N18*N20</f>
        <v>2779.7026924211291</v>
      </c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</row>
    <row r="22" spans="1:38" s="2" customFormat="1" ht="22" customHeight="1">
      <c r="A22" s="152"/>
      <c r="B22" s="54"/>
      <c r="C22" s="64"/>
      <c r="D22" s="64"/>
      <c r="E22" s="64"/>
      <c r="F22" s="64"/>
      <c r="G22" s="64"/>
      <c r="H22" s="64"/>
      <c r="I22" s="75"/>
      <c r="J22" s="75"/>
      <c r="K22" s="71"/>
      <c r="L22" s="71"/>
      <c r="M22" s="71"/>
      <c r="N22" s="71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</row>
    <row r="23" spans="1:38" s="2" customFormat="1" ht="22" customHeight="1">
      <c r="A23" s="152" t="s">
        <v>77</v>
      </c>
      <c r="B23" s="66" t="s">
        <v>86</v>
      </c>
      <c r="C23" s="66">
        <f>C13+C18</f>
        <v>8905</v>
      </c>
      <c r="D23" s="66">
        <f t="shared" ref="D23:N23" si="33">D13+D18</f>
        <v>18676</v>
      </c>
      <c r="E23" s="66">
        <f t="shared" si="33"/>
        <v>28616</v>
      </c>
      <c r="F23" s="66">
        <f>F13+F18</f>
        <v>30135</v>
      </c>
      <c r="G23" s="66">
        <f t="shared" si="33"/>
        <v>29868</v>
      </c>
      <c r="H23" s="66">
        <f t="shared" si="33"/>
        <v>30692</v>
      </c>
      <c r="I23" s="66">
        <f>I13+I18</f>
        <v>30845.459999999995</v>
      </c>
      <c r="J23" s="66">
        <f>J13+J18</f>
        <v>32079.278399999996</v>
      </c>
      <c r="K23" s="66">
        <f t="shared" si="33"/>
        <v>33202.053143999998</v>
      </c>
      <c r="L23" s="66">
        <f t="shared" si="33"/>
        <v>34613.140402619996</v>
      </c>
      <c r="M23" s="66">
        <f t="shared" si="33"/>
        <v>35824.600316711694</v>
      </c>
      <c r="N23" s="66">
        <f t="shared" si="33"/>
        <v>37078.461327796598</v>
      </c>
      <c r="O23" s="71"/>
      <c r="P23" s="71"/>
      <c r="Q23" s="71"/>
      <c r="R23" s="71"/>
      <c r="S23" s="71"/>
      <c r="T23" s="71"/>
      <c r="U23" s="71"/>
      <c r="V23" s="71"/>
      <c r="W23" s="71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</row>
    <row r="24" spans="1:38" s="2" customFormat="1" ht="22" customHeight="1">
      <c r="A24" s="136"/>
      <c r="B24" s="54" t="s">
        <v>87</v>
      </c>
      <c r="C24" s="66">
        <f>C16+C21</f>
        <v>1119.211</v>
      </c>
      <c r="D24" s="66">
        <f t="shared" ref="D24:G24" si="34">D16+D21</f>
        <v>2300.768</v>
      </c>
      <c r="E24" s="66">
        <f t="shared" si="34"/>
        <v>3514.4760000000001</v>
      </c>
      <c r="F24" s="66">
        <f t="shared" si="34"/>
        <v>3859.105</v>
      </c>
      <c r="G24" s="66">
        <f t="shared" si="34"/>
        <v>3711.7919999999999</v>
      </c>
      <c r="H24" s="66">
        <f>H16+H21</f>
        <v>3853.114</v>
      </c>
      <c r="I24" s="66">
        <f>I16+I21</f>
        <v>3831.3095749999998</v>
      </c>
      <c r="J24" s="66">
        <f t="shared" ref="J24:N24" si="35">J16+J21</f>
        <v>3984.5619579999993</v>
      </c>
      <c r="K24" s="66">
        <f t="shared" si="35"/>
        <v>4124.0216265299996</v>
      </c>
      <c r="L24" s="66">
        <f t="shared" si="35"/>
        <v>4299.292545657524</v>
      </c>
      <c r="M24" s="66">
        <f t="shared" si="35"/>
        <v>4449.7677847555378</v>
      </c>
      <c r="N24" s="66">
        <f t="shared" si="35"/>
        <v>4605.5096572219809</v>
      </c>
      <c r="O24" s="71"/>
      <c r="P24" s="71"/>
      <c r="Q24" s="71"/>
      <c r="R24" s="71"/>
      <c r="S24" s="71"/>
      <c r="T24" s="71"/>
      <c r="U24" s="71"/>
      <c r="V24" s="71"/>
      <c r="W24" s="71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</row>
    <row r="25" spans="1:38" s="2" customFormat="1" ht="22" customHeight="1">
      <c r="A25" s="153"/>
      <c r="B25" s="64" t="s">
        <v>107</v>
      </c>
      <c r="C25" s="71">
        <v>422.42099999999999</v>
      </c>
      <c r="D25" s="76">
        <v>752</v>
      </c>
      <c r="E25" s="76">
        <v>1410</v>
      </c>
      <c r="F25" s="76">
        <v>1731</v>
      </c>
      <c r="G25" s="76">
        <v>1752</v>
      </c>
      <c r="H25" s="76">
        <v>1839</v>
      </c>
      <c r="I25" s="71">
        <f>H25*(1+I26)</f>
        <v>1848.1949999999997</v>
      </c>
      <c r="J25" s="71">
        <f t="shared" ref="J25:N25" si="36">I25*(1+J26)</f>
        <v>1922.1227999999999</v>
      </c>
      <c r="K25" s="71">
        <f t="shared" si="36"/>
        <v>1989.3970979999997</v>
      </c>
      <c r="L25" s="71">
        <f t="shared" si="36"/>
        <v>2073.9464746649996</v>
      </c>
      <c r="M25" s="71">
        <f t="shared" si="36"/>
        <v>2146.5346012782743</v>
      </c>
      <c r="N25" s="71">
        <f t="shared" si="36"/>
        <v>2221.6633123230135</v>
      </c>
      <c r="O25" s="71"/>
      <c r="P25" s="71"/>
      <c r="Q25" s="71"/>
      <c r="R25" s="71"/>
      <c r="S25" s="71"/>
      <c r="T25" s="71"/>
      <c r="U25" s="71"/>
      <c r="V25" s="71"/>
      <c r="W25" s="71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</row>
    <row r="26" spans="1:38" s="5" customFormat="1" ht="22" customHeight="1">
      <c r="A26" s="153"/>
      <c r="B26" s="64" t="s">
        <v>92</v>
      </c>
      <c r="C26" s="79">
        <f>(C25-751)/751</f>
        <v>-0.43752197070572568</v>
      </c>
      <c r="D26" s="79">
        <f>(D25-C25)/C25</f>
        <v>0.78021452531952729</v>
      </c>
      <c r="E26" s="79">
        <f>(E25-D25)/D25</f>
        <v>0.875</v>
      </c>
      <c r="F26" s="79">
        <f>(F25-E25)/E25</f>
        <v>0.2276595744680851</v>
      </c>
      <c r="G26" s="79">
        <f>(G25-F25)/F25</f>
        <v>1.2131715771230503E-2</v>
      </c>
      <c r="H26" s="79">
        <f>(H25-G25)/G25</f>
        <v>4.965753424657534E-2</v>
      </c>
      <c r="I26" s="156">
        <f t="shared" ref="I26:N26" si="37">I10</f>
        <v>5.0000000000000001E-3</v>
      </c>
      <c r="J26" s="79">
        <f t="shared" si="37"/>
        <v>0.04</v>
      </c>
      <c r="K26" s="79">
        <f t="shared" si="37"/>
        <v>3.5000000000000003E-2</v>
      </c>
      <c r="L26" s="79">
        <f t="shared" si="37"/>
        <v>4.2500000000000003E-2</v>
      </c>
      <c r="M26" s="79">
        <f t="shared" si="37"/>
        <v>3.5000000000000003E-2</v>
      </c>
      <c r="N26" s="79">
        <f t="shared" si="37"/>
        <v>3.5000000000000003E-2</v>
      </c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</row>
    <row r="27" spans="1:38" s="1" customFormat="1" ht="22" customHeight="1">
      <c r="A27" s="64"/>
      <c r="B27" s="66" t="s">
        <v>78</v>
      </c>
      <c r="C27" s="64">
        <f>C25/C24</f>
        <v>0.3774274913309465</v>
      </c>
      <c r="D27" s="64">
        <f t="shared" ref="D27:G27" si="38">D25/D24</f>
        <v>0.32684738313467504</v>
      </c>
      <c r="E27" s="64">
        <f t="shared" si="38"/>
        <v>0.40119778880265505</v>
      </c>
      <c r="F27" s="64">
        <f t="shared" si="38"/>
        <v>0.4485495989355045</v>
      </c>
      <c r="G27" s="64">
        <f t="shared" si="38"/>
        <v>0.47200920741248431</v>
      </c>
      <c r="H27" s="64">
        <f>H25/H24</f>
        <v>0.47727630171336743</v>
      </c>
      <c r="I27" s="64">
        <f>I25/I24</f>
        <v>0.48239249891468239</v>
      </c>
      <c r="J27" s="64">
        <f>J25/J24</f>
        <v>0.4823924989146825</v>
      </c>
      <c r="K27" s="64">
        <f t="shared" ref="K27:N27" si="39">K25/K24</f>
        <v>0.48239249891468244</v>
      </c>
      <c r="L27" s="64">
        <f t="shared" si="39"/>
        <v>0.4823924989146825</v>
      </c>
      <c r="M27" s="64">
        <f t="shared" si="39"/>
        <v>0.48239249891468233</v>
      </c>
      <c r="N27" s="64">
        <f t="shared" si="39"/>
        <v>0.48239249891468233</v>
      </c>
      <c r="P27" s="54" t="s">
        <v>89</v>
      </c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</row>
    <row r="28" spans="1:38" s="4" customFormat="1" ht="22" customHeight="1">
      <c r="A28" s="136"/>
      <c r="B28" s="66" t="s">
        <v>88</v>
      </c>
      <c r="C28" s="71">
        <f>C24+31-C25</f>
        <v>727.79</v>
      </c>
      <c r="D28" s="71">
        <f>D24-D25</f>
        <v>1548.768</v>
      </c>
      <c r="E28" s="71">
        <f t="shared" ref="E28:N28" si="40">E24-E25</f>
        <v>2104.4760000000001</v>
      </c>
      <c r="F28" s="71">
        <f t="shared" si="40"/>
        <v>2128.105</v>
      </c>
      <c r="G28" s="71">
        <f t="shared" si="40"/>
        <v>1959.7919999999999</v>
      </c>
      <c r="H28" s="71">
        <f t="shared" si="40"/>
        <v>2014.114</v>
      </c>
      <c r="I28" s="71">
        <f>I24-I25</f>
        <v>1983.1145750000001</v>
      </c>
      <c r="J28" s="71">
        <f t="shared" si="40"/>
        <v>2062.4391579999992</v>
      </c>
      <c r="K28" s="71">
        <f t="shared" si="40"/>
        <v>2134.6245285300001</v>
      </c>
      <c r="L28" s="71">
        <f t="shared" si="40"/>
        <v>2225.3460709925243</v>
      </c>
      <c r="M28" s="71">
        <f t="shared" si="40"/>
        <v>2303.2331834772635</v>
      </c>
      <c r="N28" s="71">
        <f t="shared" si="40"/>
        <v>2383.8463448989673</v>
      </c>
      <c r="O28" s="65"/>
      <c r="P28" s="65"/>
      <c r="Q28" s="65"/>
      <c r="R28" s="65"/>
      <c r="S28" s="64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</row>
    <row r="29" spans="1:38" s="5" customFormat="1" ht="22" customHeight="1">
      <c r="A29" s="136"/>
      <c r="B29" s="64" t="s">
        <v>79</v>
      </c>
      <c r="C29" s="64">
        <f>(C28-1296)/1296</f>
        <v>-0.43843364197530865</v>
      </c>
      <c r="D29" s="64">
        <f>(D28-C28)/C28</f>
        <v>1.1280424298217895</v>
      </c>
      <c r="E29" s="64">
        <f t="shared" ref="E29:H29" si="41">(E28-D28)/D28</f>
        <v>0.3588064836050332</v>
      </c>
      <c r="F29" s="64">
        <f t="shared" si="41"/>
        <v>1.1227973139156685E-2</v>
      </c>
      <c r="G29" s="64">
        <f t="shared" si="41"/>
        <v>-7.9090552392856603E-2</v>
      </c>
      <c r="H29" s="64">
        <f t="shared" si="41"/>
        <v>2.7718247650771164E-2</v>
      </c>
      <c r="I29" s="64">
        <f>(I28-H28)/H28</f>
        <v>-1.5391097524767701E-2</v>
      </c>
      <c r="J29" s="64">
        <f t="shared" ref="J29" si="42">(J28-I28)/I28</f>
        <v>3.9999999999999578E-2</v>
      </c>
      <c r="K29" s="64">
        <f t="shared" ref="K29" si="43">(K28-J28)/J28</f>
        <v>3.5000000000000454E-2</v>
      </c>
      <c r="L29" s="64">
        <f t="shared" ref="L29" si="44">(L28-K28)/K28</f>
        <v>4.2499999999999628E-2</v>
      </c>
      <c r="M29" s="64">
        <f t="shared" ref="M29" si="45">(M28-L28)/L28</f>
        <v>3.5000000000000378E-2</v>
      </c>
      <c r="N29" s="64">
        <f t="shared" ref="N29" si="46">(N28-M28)/M28</f>
        <v>3.4999999999999816E-2</v>
      </c>
      <c r="O29" s="71"/>
      <c r="P29" s="71"/>
      <c r="Q29" s="71"/>
      <c r="R29" s="71"/>
      <c r="S29" s="64"/>
      <c r="T29" s="65"/>
      <c r="U29" s="65"/>
      <c r="V29" s="65"/>
      <c r="W29" s="65"/>
      <c r="X29" s="65"/>
      <c r="Y29" s="73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</row>
    <row r="30" spans="1:38" s="5" customFormat="1" ht="22" customHeight="1">
      <c r="A30" s="65"/>
      <c r="B30" s="65"/>
      <c r="C30" s="65"/>
      <c r="D30" s="65"/>
      <c r="E30" s="65"/>
      <c r="F30" s="65"/>
      <c r="G30" s="65"/>
      <c r="H30" s="65"/>
      <c r="I30" s="64"/>
      <c r="J30" s="65"/>
      <c r="K30" s="65"/>
      <c r="L30" s="65"/>
      <c r="M30" s="65"/>
      <c r="N30" s="65"/>
      <c r="O30" s="78"/>
      <c r="P30" s="78"/>
      <c r="Q30" s="78"/>
      <c r="R30" s="78"/>
      <c r="S30" s="64"/>
      <c r="T30" s="65"/>
      <c r="U30" s="65"/>
      <c r="V30" s="65"/>
      <c r="W30" s="65"/>
      <c r="X30" s="65"/>
      <c r="Y30" s="150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</row>
    <row r="31" spans="1:38" s="1" customFormat="1" ht="22" customHeight="1">
      <c r="A31" s="136" t="s">
        <v>81</v>
      </c>
      <c r="B31" s="54" t="s">
        <v>105</v>
      </c>
      <c r="C31" s="71">
        <f>C25</f>
        <v>422.42099999999999</v>
      </c>
      <c r="D31" s="71">
        <f t="shared" ref="D31:N31" si="47">D25</f>
        <v>752</v>
      </c>
      <c r="E31" s="71">
        <f t="shared" si="47"/>
        <v>1410</v>
      </c>
      <c r="F31" s="71">
        <f t="shared" si="47"/>
        <v>1731</v>
      </c>
      <c r="G31" s="71">
        <f t="shared" si="47"/>
        <v>1752</v>
      </c>
      <c r="H31" s="71">
        <f t="shared" si="47"/>
        <v>1839</v>
      </c>
      <c r="I31" s="71">
        <f t="shared" si="47"/>
        <v>1848.1949999999997</v>
      </c>
      <c r="J31" s="71">
        <f t="shared" si="47"/>
        <v>1922.1227999999999</v>
      </c>
      <c r="K31" s="71">
        <f t="shared" si="47"/>
        <v>1989.3970979999997</v>
      </c>
      <c r="L31" s="71">
        <f t="shared" si="47"/>
        <v>2073.9464746649996</v>
      </c>
      <c r="M31" s="71">
        <f t="shared" si="47"/>
        <v>2146.5346012782743</v>
      </c>
      <c r="N31" s="71">
        <f t="shared" si="47"/>
        <v>2221.6633123230135</v>
      </c>
      <c r="O31" s="78"/>
      <c r="P31" s="78" t="s">
        <v>108</v>
      </c>
      <c r="Q31" s="78"/>
      <c r="R31" s="78"/>
      <c r="S31" s="161"/>
      <c r="T31" s="54"/>
      <c r="U31" s="54"/>
      <c r="V31" s="54"/>
      <c r="W31" s="65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</row>
    <row r="32" spans="1:38" s="1" customFormat="1" ht="22" customHeight="1">
      <c r="B32" s="54" t="s">
        <v>129</v>
      </c>
      <c r="C32" s="72">
        <f>C54/C67</f>
        <v>0.25778233189343447</v>
      </c>
      <c r="D32" s="72">
        <f t="shared" ref="D32:N32" si="48">D54/D67</f>
        <v>0.27516370774492682</v>
      </c>
      <c r="E32" s="72">
        <f t="shared" si="48"/>
        <v>0.30261436396994912</v>
      </c>
      <c r="F32" s="72">
        <f t="shared" si="48"/>
        <v>0.3417459517788462</v>
      </c>
      <c r="G32" s="72">
        <f t="shared" si="48"/>
        <v>0.35634357529728328</v>
      </c>
      <c r="H32" s="72">
        <f t="shared" si="48"/>
        <v>0.33850277265160983</v>
      </c>
      <c r="I32" s="72">
        <f t="shared" si="48"/>
        <v>0.33741517393416698</v>
      </c>
      <c r="J32" s="72">
        <f t="shared" si="48"/>
        <v>0.33308774480754028</v>
      </c>
      <c r="K32" s="72">
        <f t="shared" si="48"/>
        <v>0.32985270347874118</v>
      </c>
      <c r="L32" s="72">
        <f t="shared" si="48"/>
        <v>0.32504763450439383</v>
      </c>
      <c r="M32" s="72">
        <f t="shared" si="48"/>
        <v>0.32185299566955533</v>
      </c>
      <c r="N32" s="72">
        <f t="shared" si="48"/>
        <v>0.31867493023872295</v>
      </c>
      <c r="O32" s="66"/>
      <c r="P32" s="66"/>
      <c r="Q32" s="66"/>
      <c r="R32" s="66"/>
      <c r="S32" s="66"/>
      <c r="T32" s="66"/>
      <c r="U32" s="66"/>
      <c r="V32" s="66"/>
      <c r="W32" s="66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</row>
    <row r="33" spans="1:38" s="1" customFormat="1" ht="22" customHeight="1">
      <c r="A33" s="54"/>
      <c r="B33" s="54" t="s">
        <v>127</v>
      </c>
      <c r="C33" s="71">
        <f>C31*C32</f>
        <v>108.89267042075647</v>
      </c>
      <c r="D33" s="71">
        <f t="shared" ref="D33:N33" si="49">D31*D32</f>
        <v>206.92310822418497</v>
      </c>
      <c r="E33" s="71">
        <f t="shared" si="49"/>
        <v>426.68625319762828</v>
      </c>
      <c r="F33" s="71">
        <f t="shared" si="49"/>
        <v>591.56224252918275</v>
      </c>
      <c r="G33" s="71">
        <f t="shared" si="49"/>
        <v>624.3139439208403</v>
      </c>
      <c r="H33" s="71">
        <f t="shared" si="49"/>
        <v>622.5065989063105</v>
      </c>
      <c r="I33" s="71">
        <f t="shared" si="49"/>
        <v>623.60903738925765</v>
      </c>
      <c r="J33" s="71">
        <f t="shared" si="49"/>
        <v>640.23554869515476</v>
      </c>
      <c r="K33" s="71">
        <f t="shared" si="49"/>
        <v>656.20801106806209</v>
      </c>
      <c r="L33" s="71">
        <f t="shared" si="49"/>
        <v>674.13139567858491</v>
      </c>
      <c r="M33" s="71">
        <f t="shared" si="49"/>
        <v>690.8685917297671</v>
      </c>
      <c r="N33" s="71">
        <f t="shared" si="49"/>
        <v>707.98840106846649</v>
      </c>
      <c r="O33" s="150"/>
      <c r="P33" s="78"/>
      <c r="Q33" s="78"/>
      <c r="R33" s="78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</row>
    <row r="34" spans="1:38" s="4" customFormat="1" ht="22" customHeight="1">
      <c r="A34" s="54"/>
      <c r="B34" s="54" t="s">
        <v>130</v>
      </c>
      <c r="C34" s="72">
        <f t="shared" ref="C34:N34" si="50">C59/C67</f>
        <v>0.22100564656382474</v>
      </c>
      <c r="D34" s="72">
        <f t="shared" si="50"/>
        <v>0.22075009020696887</v>
      </c>
      <c r="E34" s="72">
        <f t="shared" si="50"/>
        <v>0.26148226769091881</v>
      </c>
      <c r="F34" s="72">
        <f t="shared" si="50"/>
        <v>0.26108405866436685</v>
      </c>
      <c r="G34" s="72">
        <f t="shared" si="50"/>
        <v>0.26817158555073306</v>
      </c>
      <c r="H34" s="72">
        <f t="shared" si="50"/>
        <v>0.26887645357763557</v>
      </c>
      <c r="I34" s="72">
        <f t="shared" si="50"/>
        <v>0.27131261658676031</v>
      </c>
      <c r="J34" s="72">
        <f t="shared" si="50"/>
        <v>0.27308459516708816</v>
      </c>
      <c r="K34" s="72">
        <f t="shared" si="50"/>
        <v>0.27440926710818014</v>
      </c>
      <c r="L34" s="72">
        <f t="shared" si="50"/>
        <v>0.2763768277661125</v>
      </c>
      <c r="M34" s="72">
        <f t="shared" si="50"/>
        <v>0.27768495585361497</v>
      </c>
      <c r="N34" s="72">
        <f t="shared" si="50"/>
        <v>0.27898629752912957</v>
      </c>
      <c r="O34" s="88"/>
      <c r="P34" s="88"/>
      <c r="Q34" s="88"/>
      <c r="R34" s="88"/>
      <c r="S34" s="87"/>
      <c r="T34" s="88"/>
      <c r="U34" s="88"/>
      <c r="V34" s="88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</row>
    <row r="35" spans="1:38" s="1" customFormat="1" ht="22" customHeight="1">
      <c r="A35" s="4"/>
      <c r="B35" s="54" t="s">
        <v>128</v>
      </c>
      <c r="C35" s="66">
        <f>C31*C34</f>
        <v>93.35742622713741</v>
      </c>
      <c r="D35" s="66">
        <f t="shared" ref="D35:N35" si="51">D31*D34</f>
        <v>166.0040678356406</v>
      </c>
      <c r="E35" s="66">
        <f t="shared" si="51"/>
        <v>368.68999744419551</v>
      </c>
      <c r="F35" s="66">
        <f t="shared" si="51"/>
        <v>451.936505548019</v>
      </c>
      <c r="G35" s="66">
        <f t="shared" si="51"/>
        <v>469.83661788488433</v>
      </c>
      <c r="H35" s="66">
        <f t="shared" si="51"/>
        <v>494.46379812927182</v>
      </c>
      <c r="I35" s="66">
        <f t="shared" si="51"/>
        <v>501.43862141256739</v>
      </c>
      <c r="J35" s="66">
        <f t="shared" si="51"/>
        <v>524.90212669942991</v>
      </c>
      <c r="K35" s="66">
        <f t="shared" si="51"/>
        <v>545.90899964932032</v>
      </c>
      <c r="L35" s="66">
        <f t="shared" si="51"/>
        <v>573.19074762462481</v>
      </c>
      <c r="M35" s="66">
        <f t="shared" si="51"/>
        <v>596.06036599421464</v>
      </c>
      <c r="N35" s="66">
        <f t="shared" si="51"/>
        <v>619.81362186129979</v>
      </c>
      <c r="O35" s="162"/>
      <c r="P35" s="162"/>
      <c r="Q35" s="162"/>
      <c r="R35" s="162"/>
      <c r="S35" s="162"/>
      <c r="T35" s="162"/>
      <c r="U35" s="162"/>
      <c r="V35" s="162"/>
      <c r="W35" s="163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</row>
    <row r="36" spans="1:38" s="5" customFormat="1" ht="22" customHeight="1">
      <c r="A36" s="1"/>
      <c r="B36" s="54" t="s">
        <v>132</v>
      </c>
      <c r="C36" s="72">
        <f t="shared" ref="C36:N36" si="52">C64/C67</f>
        <v>0.17971372109117809</v>
      </c>
      <c r="D36" s="72">
        <f t="shared" si="52"/>
        <v>0.16724809790064932</v>
      </c>
      <c r="E36" s="72">
        <f t="shared" si="52"/>
        <v>0.17694658867743121</v>
      </c>
      <c r="F36" s="72">
        <f t="shared" si="52"/>
        <v>0.15443766510771198</v>
      </c>
      <c r="G36" s="72">
        <f t="shared" si="52"/>
        <v>0.15241160995434277</v>
      </c>
      <c r="H36" s="72">
        <f t="shared" si="52"/>
        <v>0.15299784039860148</v>
      </c>
      <c r="I36" s="72">
        <f t="shared" si="52"/>
        <v>0.15438408182768751</v>
      </c>
      <c r="J36" s="72">
        <f t="shared" si="52"/>
        <v>0.15539238468357319</v>
      </c>
      <c r="K36" s="72">
        <f t="shared" si="52"/>
        <v>0.15614615818633615</v>
      </c>
      <c r="L36" s="72">
        <f t="shared" si="52"/>
        <v>0.15726575243682331</v>
      </c>
      <c r="M36" s="72">
        <f t="shared" si="52"/>
        <v>0.15801011204767651</v>
      </c>
      <c r="N36" s="72">
        <f t="shared" si="52"/>
        <v>0.15875061000993837</v>
      </c>
      <c r="O36" s="78"/>
      <c r="P36" s="169"/>
      <c r="Q36" s="78"/>
      <c r="R36" s="78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</row>
    <row r="37" spans="1:38" s="5" customFormat="1" ht="22" customHeight="1">
      <c r="A37" s="66"/>
      <c r="B37" s="66" t="s">
        <v>131</v>
      </c>
      <c r="C37" s="71">
        <f>C31*C36</f>
        <v>75.914849777056531</v>
      </c>
      <c r="D37" s="71">
        <f t="shared" ref="D37:N37" si="53">D31*D36</f>
        <v>125.77056962128829</v>
      </c>
      <c r="E37" s="71">
        <f t="shared" si="53"/>
        <v>249.494690035178</v>
      </c>
      <c r="F37" s="71">
        <f t="shared" si="53"/>
        <v>267.33159830144945</v>
      </c>
      <c r="G37" s="71">
        <f t="shared" si="53"/>
        <v>267.02514064000854</v>
      </c>
      <c r="H37" s="71">
        <f t="shared" si="53"/>
        <v>281.36302849302814</v>
      </c>
      <c r="I37" s="71">
        <f t="shared" si="53"/>
        <v>285.33188811352289</v>
      </c>
      <c r="J37" s="71">
        <f t="shared" si="53"/>
        <v>298.6832455466668</v>
      </c>
      <c r="K37" s="71">
        <f t="shared" si="53"/>
        <v>310.63671395974603</v>
      </c>
      <c r="L37" s="71">
        <f t="shared" si="53"/>
        <v>326.16075285188828</v>
      </c>
      <c r="M37" s="71">
        <f t="shared" si="53"/>
        <v>339.17417286219472</v>
      </c>
      <c r="N37" s="71">
        <f t="shared" si="53"/>
        <v>352.69040606797864</v>
      </c>
      <c r="O37" s="78"/>
      <c r="P37" s="170"/>
      <c r="Q37" s="78"/>
      <c r="R37" s="78"/>
      <c r="S37" s="66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</row>
    <row r="38" spans="1:38" s="4" customFormat="1" ht="22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78"/>
      <c r="P38" s="78"/>
      <c r="Q38" s="78"/>
      <c r="R38" s="78"/>
      <c r="S38" s="54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</row>
    <row r="39" spans="1:38" s="4" customFormat="1" ht="22" customHeight="1">
      <c r="B39" s="64" t="s">
        <v>80</v>
      </c>
      <c r="C39" s="79">
        <f t="shared" ref="C39:N39" si="54">C24/C23</f>
        <v>0.12568343627175743</v>
      </c>
      <c r="D39" s="79">
        <f t="shared" si="54"/>
        <v>0.12319383165560077</v>
      </c>
      <c r="E39" s="79">
        <f t="shared" si="54"/>
        <v>0.12281506849315069</v>
      </c>
      <c r="F39" s="79">
        <f t="shared" si="54"/>
        <v>0.12806056080968972</v>
      </c>
      <c r="G39" s="79">
        <f t="shared" si="54"/>
        <v>0.12427320208919244</v>
      </c>
      <c r="H39" s="79">
        <f>H24/H23</f>
        <v>0.12554131369738042</v>
      </c>
      <c r="I39" s="79">
        <f t="shared" si="54"/>
        <v>0.12420983752552241</v>
      </c>
      <c r="J39" s="79">
        <f t="shared" si="54"/>
        <v>0.12420983752552239</v>
      </c>
      <c r="K39" s="79">
        <f t="shared" si="54"/>
        <v>0.12420983752552239</v>
      </c>
      <c r="L39" s="79">
        <f t="shared" si="54"/>
        <v>0.12420983752552238</v>
      </c>
      <c r="M39" s="79">
        <f t="shared" si="54"/>
        <v>0.12420983752552239</v>
      </c>
      <c r="N39" s="79">
        <f t="shared" si="54"/>
        <v>0.12420983752552239</v>
      </c>
      <c r="O39" s="71"/>
      <c r="P39" s="71"/>
      <c r="Q39" s="71"/>
      <c r="R39" s="71"/>
      <c r="S39" s="71"/>
      <c r="T39" s="71"/>
      <c r="U39" s="71"/>
      <c r="V39" s="71"/>
      <c r="W39" s="71"/>
      <c r="X39" s="66"/>
      <c r="Y39" s="65"/>
      <c r="Z39" s="66"/>
      <c r="AA39" s="66"/>
      <c r="AB39" s="66"/>
      <c r="AC39" s="66"/>
      <c r="AD39" s="66"/>
    </row>
    <row r="40" spans="1:38" s="5" customFormat="1" ht="22" customHeight="1">
      <c r="A40" s="64"/>
      <c r="B40" s="64" t="s">
        <v>74</v>
      </c>
      <c r="C40" s="79">
        <f t="shared" ref="C40:N40" si="55">C16/C24</f>
        <v>0.42014865829588877</v>
      </c>
      <c r="D40" s="79">
        <f t="shared" si="55"/>
        <v>0.38352497948511105</v>
      </c>
      <c r="E40" s="79">
        <f t="shared" si="55"/>
        <v>0.39634927084435917</v>
      </c>
      <c r="F40" s="79">
        <f t="shared" si="55"/>
        <v>0.42355546169383834</v>
      </c>
      <c r="G40" s="79">
        <f t="shared" si="55"/>
        <v>0.39625927314892645</v>
      </c>
      <c r="H40" s="79">
        <f t="shared" si="55"/>
        <v>0.40071588849953566</v>
      </c>
      <c r="I40" s="79">
        <f t="shared" si="55"/>
        <v>0.39643972126684646</v>
      </c>
      <c r="J40" s="79">
        <f t="shared" si="55"/>
        <v>0.39643972126684651</v>
      </c>
      <c r="K40" s="79">
        <f t="shared" si="55"/>
        <v>0.39643972126684646</v>
      </c>
      <c r="L40" s="79">
        <f t="shared" si="55"/>
        <v>0.39643972126684651</v>
      </c>
      <c r="M40" s="79">
        <f t="shared" si="55"/>
        <v>0.39643972126684646</v>
      </c>
      <c r="N40" s="79">
        <f t="shared" si="55"/>
        <v>0.39643972126684651</v>
      </c>
      <c r="O40" s="161"/>
      <c r="P40" s="161"/>
      <c r="Q40" s="161"/>
      <c r="R40" s="161"/>
      <c r="S40" s="161"/>
      <c r="T40" s="161"/>
      <c r="U40" s="161"/>
      <c r="V40" s="161"/>
      <c r="W40" s="161"/>
      <c r="X40" s="65"/>
      <c r="Y40" s="65"/>
      <c r="Z40" s="65"/>
      <c r="AA40" s="65"/>
      <c r="AB40" s="65"/>
      <c r="AC40" s="65"/>
      <c r="AD40" s="65"/>
    </row>
    <row r="41" spans="1:38" s="5" customFormat="1" ht="22" customHeight="1">
      <c r="A41" s="65"/>
      <c r="B41" s="65" t="s">
        <v>75</v>
      </c>
      <c r="C41" s="79">
        <f t="shared" ref="C41:N41" si="56">C21/C24</f>
        <v>0.57985134170411123</v>
      </c>
      <c r="D41" s="79">
        <f t="shared" si="56"/>
        <v>0.61647502051488889</v>
      </c>
      <c r="E41" s="79">
        <f t="shared" si="56"/>
        <v>0.60365072915564089</v>
      </c>
      <c r="F41" s="79">
        <f t="shared" si="56"/>
        <v>0.5764445383061616</v>
      </c>
      <c r="G41" s="79">
        <f t="shared" si="56"/>
        <v>0.60374072685107361</v>
      </c>
      <c r="H41" s="79">
        <f t="shared" si="56"/>
        <v>0.59928411150046434</v>
      </c>
      <c r="I41" s="79">
        <f t="shared" si="56"/>
        <v>0.60356027873315354</v>
      </c>
      <c r="J41" s="79">
        <f t="shared" si="56"/>
        <v>0.60356027873315354</v>
      </c>
      <c r="K41" s="79">
        <f t="shared" si="56"/>
        <v>0.60356027873315343</v>
      </c>
      <c r="L41" s="79">
        <f t="shared" si="56"/>
        <v>0.60356027873315354</v>
      </c>
      <c r="M41" s="79">
        <f t="shared" si="56"/>
        <v>0.60356027873315343</v>
      </c>
      <c r="N41" s="79">
        <f t="shared" si="56"/>
        <v>0.60356027873315354</v>
      </c>
      <c r="O41" s="86"/>
      <c r="P41" s="86"/>
      <c r="Q41" s="86"/>
      <c r="R41" s="86"/>
      <c r="S41" s="66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</row>
    <row r="42" spans="1:38" s="5" customFormat="1" ht="22" customHeight="1">
      <c r="A42" s="54"/>
      <c r="B42" s="54" t="s">
        <v>104</v>
      </c>
      <c r="C42" s="150">
        <f t="shared" ref="C42:N42" si="57">C28/C24</f>
        <v>0.6502705924084019</v>
      </c>
      <c r="D42" s="150">
        <f t="shared" si="57"/>
        <v>0.67315261686532502</v>
      </c>
      <c r="E42" s="150">
        <f t="shared" si="57"/>
        <v>0.59880221119734489</v>
      </c>
      <c r="F42" s="150">
        <f t="shared" si="57"/>
        <v>0.5514504010644955</v>
      </c>
      <c r="G42" s="150">
        <f t="shared" si="57"/>
        <v>0.52799079258751569</v>
      </c>
      <c r="H42" s="150">
        <f t="shared" si="57"/>
        <v>0.52272369828663257</v>
      </c>
      <c r="I42" s="150">
        <f t="shared" si="57"/>
        <v>0.51760750108531761</v>
      </c>
      <c r="J42" s="150">
        <f t="shared" si="57"/>
        <v>0.51760750108531739</v>
      </c>
      <c r="K42" s="150">
        <f t="shared" si="57"/>
        <v>0.51760750108531761</v>
      </c>
      <c r="L42" s="150">
        <f t="shared" si="57"/>
        <v>0.5176075010853175</v>
      </c>
      <c r="M42" s="150">
        <f t="shared" si="57"/>
        <v>0.51760750108531761</v>
      </c>
      <c r="N42" s="150">
        <f t="shared" si="57"/>
        <v>0.51760750108531761</v>
      </c>
      <c r="O42" s="86"/>
      <c r="P42" s="86"/>
      <c r="Q42" s="86"/>
      <c r="R42" s="86"/>
      <c r="S42" s="66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</row>
    <row r="43" spans="1:38" s="4" customFormat="1" ht="22" customHeight="1">
      <c r="A43" s="54"/>
      <c r="B43" s="54" t="s">
        <v>106</v>
      </c>
      <c r="C43" s="72">
        <f>1-C42</f>
        <v>0.3497294075915981</v>
      </c>
      <c r="D43" s="72">
        <f t="shared" ref="D43:N43" si="58">1-D42</f>
        <v>0.32684738313467498</v>
      </c>
      <c r="E43" s="72">
        <f t="shared" si="58"/>
        <v>0.40119778880265511</v>
      </c>
      <c r="F43" s="72">
        <f t="shared" si="58"/>
        <v>0.4485495989355045</v>
      </c>
      <c r="G43" s="72">
        <f t="shared" si="58"/>
        <v>0.47200920741248431</v>
      </c>
      <c r="H43" s="72">
        <f>1-H42</f>
        <v>0.47727630171336743</v>
      </c>
      <c r="I43" s="72">
        <f>1-I42</f>
        <v>0.48239249891468239</v>
      </c>
      <c r="J43" s="72">
        <f t="shared" si="58"/>
        <v>0.48239249891468261</v>
      </c>
      <c r="K43" s="72">
        <f t="shared" si="58"/>
        <v>0.48239249891468239</v>
      </c>
      <c r="L43" s="72">
        <f t="shared" si="58"/>
        <v>0.4823924989146825</v>
      </c>
      <c r="M43" s="72">
        <f t="shared" si="58"/>
        <v>0.48239249891468239</v>
      </c>
      <c r="N43" s="72">
        <f t="shared" si="58"/>
        <v>0.48239249891468239</v>
      </c>
      <c r="O43" s="86"/>
      <c r="P43" s="86"/>
      <c r="Q43" s="86"/>
      <c r="R43" s="86"/>
      <c r="S43" s="54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</row>
    <row r="44" spans="1:38" s="1" customFormat="1" ht="22" customHeight="1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86"/>
      <c r="P44" s="86"/>
      <c r="Q44" s="86"/>
      <c r="R44" s="86"/>
      <c r="S44" s="65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8" s="5" customFormat="1" ht="22" customHeight="1">
      <c r="A45" s="54" t="s">
        <v>95</v>
      </c>
      <c r="B45" s="164" t="s">
        <v>98</v>
      </c>
      <c r="C45" s="72">
        <v>0.55000000000000004</v>
      </c>
      <c r="D45" s="72">
        <v>0.74</v>
      </c>
      <c r="E45" s="72">
        <v>0.89</v>
      </c>
      <c r="F45" s="72">
        <v>0.93</v>
      </c>
      <c r="G45" s="72">
        <v>0.94</v>
      </c>
      <c r="H45" s="72">
        <v>0.92</v>
      </c>
      <c r="I45" s="156">
        <v>0.9</v>
      </c>
      <c r="J45" s="79">
        <f>$I$45</f>
        <v>0.9</v>
      </c>
      <c r="K45" s="79">
        <f>$I$45</f>
        <v>0.9</v>
      </c>
      <c r="L45" s="79">
        <f>$I$45</f>
        <v>0.9</v>
      </c>
      <c r="M45" s="79">
        <f>$I$45</f>
        <v>0.9</v>
      </c>
      <c r="N45" s="79">
        <f>$I$45</f>
        <v>0.9</v>
      </c>
      <c r="O45" s="85"/>
      <c r="P45" s="85"/>
      <c r="Q45" s="85"/>
      <c r="R45" s="85"/>
      <c r="S45" s="165"/>
      <c r="T45" s="85"/>
      <c r="U45" s="85"/>
      <c r="V45" s="85"/>
      <c r="W45" s="85"/>
      <c r="X45" s="65"/>
      <c r="Y45" s="65"/>
      <c r="Z45" s="65"/>
      <c r="AA45" s="65"/>
      <c r="AB45" s="65"/>
      <c r="AC45" s="65"/>
      <c r="AD45" s="65"/>
    </row>
    <row r="46" spans="1:38" s="6" customFormat="1" ht="22" customHeight="1">
      <c r="A46" s="54"/>
      <c r="B46" s="164" t="s">
        <v>99</v>
      </c>
      <c r="C46" s="164">
        <f>(C45-91%)/91%</f>
        <v>-0.39560439560439559</v>
      </c>
      <c r="D46" s="164">
        <f>(D45-C45)/C45</f>
        <v>0.34545454545454535</v>
      </c>
      <c r="E46" s="164">
        <f t="shared" ref="E46:H46" si="59">(E45-D45)/D45</f>
        <v>0.20270270270270274</v>
      </c>
      <c r="F46" s="164">
        <f t="shared" si="59"/>
        <v>4.4943820224719142E-2</v>
      </c>
      <c r="G46" s="164">
        <f t="shared" si="59"/>
        <v>1.0752688172042901E-2</v>
      </c>
      <c r="H46" s="164">
        <f t="shared" si="59"/>
        <v>-2.1276595744680753E-2</v>
      </c>
      <c r="I46" s="164">
        <f>(I45-H45)/H45</f>
        <v>-2.1739130434782625E-2</v>
      </c>
      <c r="J46" s="164">
        <f t="shared" ref="J46" si="60">(J45-I45)/I45</f>
        <v>0</v>
      </c>
      <c r="K46" s="164">
        <f t="shared" ref="K46" si="61">(K45-J45)/J45</f>
        <v>0</v>
      </c>
      <c r="L46" s="164">
        <f t="shared" ref="L46" si="62">(L45-K45)/K45</f>
        <v>0</v>
      </c>
      <c r="M46" s="164">
        <f t="shared" ref="M46" si="63">(M45-L45)/L45</f>
        <v>0</v>
      </c>
      <c r="N46" s="164">
        <f t="shared" ref="N46" si="64">(N45-M45)/M45</f>
        <v>0</v>
      </c>
      <c r="O46" s="62"/>
      <c r="P46" s="62"/>
      <c r="Q46" s="62"/>
      <c r="R46" s="62"/>
      <c r="S46" s="66"/>
      <c r="T46" s="86"/>
      <c r="U46" s="86"/>
      <c r="V46" s="67"/>
      <c r="W46" s="67"/>
      <c r="X46" s="67"/>
      <c r="Y46" s="67"/>
      <c r="Z46" s="67"/>
      <c r="AA46" s="67"/>
      <c r="AB46" s="67"/>
      <c r="AC46" s="67"/>
      <c r="AD46" s="67"/>
    </row>
    <row r="47" spans="1:38" s="6" customFormat="1" ht="22" customHeight="1">
      <c r="A47" s="54"/>
      <c r="B47" s="171" t="s">
        <v>102</v>
      </c>
      <c r="C47" s="172">
        <v>31098</v>
      </c>
      <c r="D47" s="172">
        <v>36595</v>
      </c>
      <c r="E47" s="172">
        <v>37293</v>
      </c>
      <c r="F47" s="172">
        <v>37243</v>
      </c>
      <c r="G47" s="172">
        <v>37243</v>
      </c>
      <c r="H47" s="172">
        <v>37000</v>
      </c>
      <c r="I47" s="173">
        <f>AVERAGE(F47:H47)</f>
        <v>37162</v>
      </c>
      <c r="J47" s="172">
        <f>$I$47</f>
        <v>37162</v>
      </c>
      <c r="K47" s="172">
        <f>$I$47</f>
        <v>37162</v>
      </c>
      <c r="L47" s="172">
        <f>$I$47</f>
        <v>37162</v>
      </c>
      <c r="M47" s="172">
        <f>$I$47</f>
        <v>37162</v>
      </c>
      <c r="N47" s="172">
        <f>$I$47</f>
        <v>37162</v>
      </c>
      <c r="O47" s="166"/>
      <c r="P47" s="166"/>
      <c r="Q47" s="166"/>
      <c r="R47" s="166"/>
      <c r="S47" s="166"/>
      <c r="T47" s="166"/>
      <c r="U47" s="166"/>
      <c r="V47" s="166"/>
      <c r="W47" s="166"/>
      <c r="X47" s="67"/>
      <c r="Y47" s="67"/>
      <c r="Z47" s="67"/>
      <c r="AA47" s="67"/>
      <c r="AB47" s="67"/>
      <c r="AC47" s="67"/>
      <c r="AD47" s="67"/>
    </row>
    <row r="48" spans="1:38" s="6" customFormat="1" ht="22" customHeight="1">
      <c r="A48" s="54"/>
      <c r="B48" s="164" t="s">
        <v>100</v>
      </c>
      <c r="C48" s="104">
        <v>161</v>
      </c>
      <c r="D48" s="71">
        <v>173</v>
      </c>
      <c r="E48" s="71">
        <v>229</v>
      </c>
      <c r="F48" s="71">
        <v>256</v>
      </c>
      <c r="G48" s="71">
        <v>260</v>
      </c>
      <c r="H48" s="71">
        <v>249</v>
      </c>
      <c r="I48" s="77">
        <f>H48*(1+I49)</f>
        <v>249</v>
      </c>
      <c r="J48" s="66">
        <f>I48*(1+J49)</f>
        <v>253.98000000000002</v>
      </c>
      <c r="K48" s="66">
        <f t="shared" ref="K48:N48" si="65">J48*(1+K49)</f>
        <v>259.05960000000005</v>
      </c>
      <c r="L48" s="66">
        <f t="shared" si="65"/>
        <v>264.24079200000006</v>
      </c>
      <c r="M48" s="66">
        <f t="shared" si="65"/>
        <v>269.52560784000008</v>
      </c>
      <c r="N48" s="66">
        <f t="shared" si="65"/>
        <v>274.91611999680009</v>
      </c>
      <c r="O48" s="85"/>
      <c r="P48" s="85"/>
      <c r="Q48" s="85"/>
      <c r="R48" s="85"/>
      <c r="S48" s="165"/>
      <c r="T48" s="85"/>
      <c r="U48" s="85"/>
      <c r="V48" s="85"/>
      <c r="W48" s="85"/>
      <c r="X48" s="67"/>
      <c r="Y48" s="67"/>
      <c r="Z48" s="67"/>
      <c r="AA48" s="67"/>
      <c r="AB48" s="67"/>
      <c r="AC48" s="67"/>
      <c r="AD48" s="67"/>
    </row>
    <row r="49" spans="1:30" s="6" customFormat="1" ht="22" customHeight="1">
      <c r="A49" s="54"/>
      <c r="B49" s="164" t="s">
        <v>96</v>
      </c>
      <c r="C49" s="72">
        <f>(C48-167)/167</f>
        <v>-3.5928143712574849E-2</v>
      </c>
      <c r="D49" s="164">
        <f>(D48-C48)/C48</f>
        <v>7.4534161490683232E-2</v>
      </c>
      <c r="E49" s="164">
        <f t="shared" ref="E49:H49" si="66">(E48-D48)/D48</f>
        <v>0.32369942196531792</v>
      </c>
      <c r="F49" s="164">
        <f t="shared" si="66"/>
        <v>0.11790393013100436</v>
      </c>
      <c r="G49" s="164">
        <f t="shared" si="66"/>
        <v>1.5625E-2</v>
      </c>
      <c r="H49" s="164">
        <f t="shared" si="66"/>
        <v>-4.230769230769231E-2</v>
      </c>
      <c r="I49" s="154">
        <f>0%</f>
        <v>0</v>
      </c>
      <c r="J49" s="154">
        <f>2%</f>
        <v>0.02</v>
      </c>
      <c r="K49" s="64">
        <f>$J$49</f>
        <v>0.02</v>
      </c>
      <c r="L49" s="64">
        <f>$J$49</f>
        <v>0.02</v>
      </c>
      <c r="M49" s="64">
        <f>$J$49</f>
        <v>0.02</v>
      </c>
      <c r="N49" s="64">
        <f>$J$49</f>
        <v>0.02</v>
      </c>
      <c r="O49" s="67"/>
      <c r="P49" s="67"/>
      <c r="Q49" s="67"/>
      <c r="R49" s="67"/>
      <c r="S49" s="65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</row>
    <row r="50" spans="1:30" s="6" customFormat="1" ht="22" customHeight="1">
      <c r="A50" s="54"/>
      <c r="B50" s="164" t="s">
        <v>97</v>
      </c>
      <c r="C50" s="168">
        <v>88</v>
      </c>
      <c r="D50" s="76">
        <v>128</v>
      </c>
      <c r="E50" s="76">
        <v>203</v>
      </c>
      <c r="F50" s="76">
        <v>237</v>
      </c>
      <c r="G50" s="76">
        <v>245</v>
      </c>
      <c r="H50" s="76">
        <v>229</v>
      </c>
      <c r="I50" s="71">
        <f>I48*I51</f>
        <v>231.3847155448718</v>
      </c>
      <c r="J50" s="71">
        <f t="shared" ref="J50:N50" si="67">J48*J51</f>
        <v>236.01240985576925</v>
      </c>
      <c r="K50" s="71">
        <f t="shared" si="67"/>
        <v>240.73265805288466</v>
      </c>
      <c r="L50" s="71">
        <f t="shared" si="67"/>
        <v>245.54731121394238</v>
      </c>
      <c r="M50" s="71">
        <f t="shared" si="67"/>
        <v>250.45825743822124</v>
      </c>
      <c r="N50" s="71">
        <f t="shared" si="67"/>
        <v>255.46742258698566</v>
      </c>
      <c r="O50" s="71"/>
      <c r="P50" s="71"/>
      <c r="Q50" s="71"/>
      <c r="R50" s="71"/>
      <c r="S50" s="71"/>
      <c r="T50" s="71"/>
      <c r="U50" s="71"/>
      <c r="V50" s="71"/>
      <c r="W50" s="71"/>
      <c r="X50" s="67"/>
      <c r="Y50" s="67"/>
      <c r="Z50" s="67"/>
      <c r="AA50" s="67"/>
      <c r="AB50" s="67"/>
      <c r="AC50" s="67"/>
      <c r="AD50" s="67"/>
    </row>
    <row r="51" spans="1:30" s="6" customFormat="1" ht="22" customHeight="1">
      <c r="A51" s="54"/>
      <c r="B51" s="65" t="s">
        <v>101</v>
      </c>
      <c r="C51" s="79">
        <f>C50/C48</f>
        <v>0.54658385093167705</v>
      </c>
      <c r="D51" s="79">
        <f t="shared" ref="D51:H51" si="68">D50/D48</f>
        <v>0.73988439306358378</v>
      </c>
      <c r="E51" s="79">
        <f t="shared" si="68"/>
        <v>0.88646288209606983</v>
      </c>
      <c r="F51" s="79">
        <f t="shared" si="68"/>
        <v>0.92578125</v>
      </c>
      <c r="G51" s="79">
        <f t="shared" si="68"/>
        <v>0.94230769230769229</v>
      </c>
      <c r="H51" s="79">
        <f t="shared" si="68"/>
        <v>0.91967871485943775</v>
      </c>
      <c r="I51" s="156">
        <f>AVERAGE(F51:H51)</f>
        <v>0.92925588572237672</v>
      </c>
      <c r="J51" s="79">
        <f>$I$51</f>
        <v>0.92925588572237672</v>
      </c>
      <c r="K51" s="79">
        <f>$I$51</f>
        <v>0.92925588572237672</v>
      </c>
      <c r="L51" s="79">
        <f>$I$51</f>
        <v>0.92925588572237672</v>
      </c>
      <c r="M51" s="79">
        <f>$I$51</f>
        <v>0.92925588572237672</v>
      </c>
      <c r="N51" s="79">
        <f>$I$51</f>
        <v>0.92925588572237672</v>
      </c>
      <c r="O51" s="67"/>
      <c r="P51" s="67"/>
      <c r="Q51" s="67"/>
      <c r="R51" s="67"/>
      <c r="S51" s="54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</row>
    <row r="52" spans="1:30" s="6" customFormat="1" ht="22" customHeight="1">
      <c r="A52" s="64"/>
      <c r="B52" s="67" t="s">
        <v>135</v>
      </c>
      <c r="C52" s="67">
        <f>C33</f>
        <v>108.89267042075647</v>
      </c>
      <c r="D52" s="67">
        <f t="shared" ref="D52:N52" si="69">D33</f>
        <v>206.92310822418497</v>
      </c>
      <c r="E52" s="67">
        <f t="shared" si="69"/>
        <v>426.68625319762828</v>
      </c>
      <c r="F52" s="67">
        <f t="shared" si="69"/>
        <v>591.56224252918275</v>
      </c>
      <c r="G52" s="67">
        <f t="shared" si="69"/>
        <v>624.3139439208403</v>
      </c>
      <c r="H52" s="67">
        <f>H33</f>
        <v>622.5065989063105</v>
      </c>
      <c r="I52" s="67">
        <f>I33</f>
        <v>623.60903738925765</v>
      </c>
      <c r="J52" s="67">
        <f t="shared" si="69"/>
        <v>640.23554869515476</v>
      </c>
      <c r="K52" s="67">
        <f t="shared" si="69"/>
        <v>656.20801106806209</v>
      </c>
      <c r="L52" s="67">
        <f t="shared" si="69"/>
        <v>674.13139567858491</v>
      </c>
      <c r="M52" s="67">
        <f t="shared" si="69"/>
        <v>690.8685917297671</v>
      </c>
      <c r="N52" s="67">
        <f t="shared" si="69"/>
        <v>707.98840106846649</v>
      </c>
      <c r="O52" s="88"/>
      <c r="P52" s="88"/>
      <c r="Q52" s="88"/>
      <c r="R52" s="88"/>
      <c r="S52" s="87"/>
      <c r="T52" s="88"/>
      <c r="U52" s="88"/>
      <c r="V52" s="88"/>
      <c r="W52" s="88"/>
      <c r="X52" s="67"/>
      <c r="Y52" s="67"/>
      <c r="Z52" s="67"/>
      <c r="AA52" s="67"/>
      <c r="AB52" s="67"/>
      <c r="AC52" s="67"/>
      <c r="AD52" s="67"/>
    </row>
    <row r="53" spans="1:30" s="6" customFormat="1" ht="22" customHeight="1">
      <c r="A53" s="63"/>
      <c r="B53" s="67" t="s">
        <v>134</v>
      </c>
      <c r="C53" s="71">
        <f>C54-C52</f>
        <v>440.4845975792436</v>
      </c>
      <c r="D53" s="71">
        <f t="shared" ref="D53:N53" si="70">D54-D52</f>
        <v>1058.2685077758151</v>
      </c>
      <c r="E53" s="71">
        <f t="shared" si="70"/>
        <v>2032.5838499523718</v>
      </c>
      <c r="F53" s="71">
        <f t="shared" si="70"/>
        <v>2404.6240724208174</v>
      </c>
      <c r="G53" s="71">
        <f t="shared" si="70"/>
        <v>2506.3140145791594</v>
      </c>
      <c r="H53" s="71">
        <f t="shared" si="70"/>
        <v>2222.7268010936896</v>
      </c>
      <c r="I53" s="71">
        <f>I54-I52</f>
        <v>2201.0700881080384</v>
      </c>
      <c r="J53" s="71">
        <f>J54-J52</f>
        <v>2240.9371593120873</v>
      </c>
      <c r="K53" s="71">
        <f t="shared" si="70"/>
        <v>2282.5881510993249</v>
      </c>
      <c r="L53" s="71">
        <f t="shared" si="70"/>
        <v>2323.4406897321505</v>
      </c>
      <c r="M53" s="71">
        <f t="shared" si="70"/>
        <v>2366.6549353891828</v>
      </c>
      <c r="N53" s="71">
        <f t="shared" si="70"/>
        <v>2410.6855965928626</v>
      </c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</row>
    <row r="54" spans="1:30" s="6" customFormat="1" ht="22" customHeight="1">
      <c r="A54" s="67"/>
      <c r="B54" s="54" t="s">
        <v>133</v>
      </c>
      <c r="C54" s="66">
        <f t="shared" ref="C54:I54" si="71">((C50*C47*365)/1000000)*C45</f>
        <v>549.37726800000007</v>
      </c>
      <c r="D54" s="66">
        <f t="shared" si="71"/>
        <v>1265.1916160000001</v>
      </c>
      <c r="E54" s="66">
        <f t="shared" si="71"/>
        <v>2459.2701031500001</v>
      </c>
      <c r="F54" s="66">
        <f t="shared" si="71"/>
        <v>2996.18631495</v>
      </c>
      <c r="G54" s="66">
        <f t="shared" si="71"/>
        <v>3130.6279584999997</v>
      </c>
      <c r="H54" s="66">
        <f t="shared" si="71"/>
        <v>2845.2334000000001</v>
      </c>
      <c r="I54" s="66">
        <f t="shared" si="71"/>
        <v>2824.6791254972959</v>
      </c>
      <c r="J54" s="66">
        <f t="shared" ref="J54:N54" si="72">((J50*J47*365)/1000000)*J45</f>
        <v>2881.1727080072419</v>
      </c>
      <c r="K54" s="66">
        <f t="shared" si="72"/>
        <v>2938.7961621673871</v>
      </c>
      <c r="L54" s="66">
        <f t="shared" si="72"/>
        <v>2997.5720854107353</v>
      </c>
      <c r="M54" s="66">
        <f t="shared" si="72"/>
        <v>3057.5235271189499</v>
      </c>
      <c r="N54" s="66">
        <f t="shared" si="72"/>
        <v>3118.6739976613289</v>
      </c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</row>
    <row r="55" spans="1:30" s="6" customFormat="1" ht="22" customHeight="1">
      <c r="B55" s="66" t="s">
        <v>142</v>
      </c>
      <c r="C55" s="79">
        <f>(C54-1863)/1863</f>
        <v>-0.70511150402576483</v>
      </c>
      <c r="D55" s="79">
        <f>(D53-C53)/C53</f>
        <v>1.4025096759153572</v>
      </c>
      <c r="E55" s="79">
        <f t="shared" ref="E55:N55" si="73">(E53-D53)/D53</f>
        <v>0.92066931503451377</v>
      </c>
      <c r="F55" s="79">
        <f t="shared" si="73"/>
        <v>0.18303806875035603</v>
      </c>
      <c r="G55" s="79">
        <f t="shared" si="73"/>
        <v>4.228933051309236E-2</v>
      </c>
      <c r="H55" s="79">
        <f t="shared" si="73"/>
        <v>-0.11314911532866627</v>
      </c>
      <c r="I55" s="79">
        <f t="shared" si="73"/>
        <v>-9.7433085231145161E-3</v>
      </c>
      <c r="J55" s="79">
        <f t="shared" si="73"/>
        <v>1.811258597326958E-2</v>
      </c>
      <c r="K55" s="79">
        <f t="shared" si="73"/>
        <v>1.85864166757909E-2</v>
      </c>
      <c r="L55" s="79">
        <f t="shared" si="73"/>
        <v>1.789746372474179E-2</v>
      </c>
      <c r="M55" s="79">
        <f t="shared" si="73"/>
        <v>1.85992463022648E-2</v>
      </c>
      <c r="N55" s="79">
        <f t="shared" si="73"/>
        <v>1.8604596954663002E-2</v>
      </c>
      <c r="O55" s="89"/>
      <c r="P55" s="89"/>
      <c r="Q55" s="89"/>
      <c r="R55" s="89"/>
      <c r="S55" s="89"/>
      <c r="T55" s="89"/>
      <c r="U55" s="89"/>
      <c r="V55" s="89"/>
      <c r="W55" s="89"/>
      <c r="X55" s="67"/>
      <c r="Y55" s="67"/>
      <c r="Z55" s="67"/>
      <c r="AA55" s="67"/>
      <c r="AB55" s="67"/>
      <c r="AC55" s="67"/>
      <c r="AD55" s="67"/>
    </row>
    <row r="56" spans="1:30" s="6" customFormat="1" ht="22" customHeight="1">
      <c r="O56" s="67"/>
      <c r="P56" s="67"/>
      <c r="Q56" s="65"/>
      <c r="R56" s="65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</row>
    <row r="57" spans="1:30" s="6" customFormat="1" ht="22" customHeight="1">
      <c r="A57" s="64" t="s">
        <v>103</v>
      </c>
      <c r="B57" s="67" t="s">
        <v>138</v>
      </c>
      <c r="C57" s="67">
        <f>C35</f>
        <v>93.35742622713741</v>
      </c>
      <c r="D57" s="67">
        <f t="shared" ref="D57:N57" si="74">D35</f>
        <v>166.0040678356406</v>
      </c>
      <c r="E57" s="67">
        <f t="shared" si="74"/>
        <v>368.68999744419551</v>
      </c>
      <c r="F57" s="67">
        <f t="shared" si="74"/>
        <v>451.936505548019</v>
      </c>
      <c r="G57" s="67">
        <f t="shared" si="74"/>
        <v>469.83661788488433</v>
      </c>
      <c r="H57" s="67">
        <f t="shared" si="74"/>
        <v>494.46379812927182</v>
      </c>
      <c r="I57" s="67">
        <f t="shared" si="74"/>
        <v>501.43862141256739</v>
      </c>
      <c r="J57" s="67">
        <f t="shared" si="74"/>
        <v>524.90212669942991</v>
      </c>
      <c r="K57" s="67">
        <f t="shared" si="74"/>
        <v>545.90899964932032</v>
      </c>
      <c r="L57" s="67">
        <f t="shared" si="74"/>
        <v>573.19074762462481</v>
      </c>
      <c r="M57" s="67">
        <f t="shared" si="74"/>
        <v>596.06036599421464</v>
      </c>
      <c r="N57" s="67">
        <f t="shared" si="74"/>
        <v>619.81362186129979</v>
      </c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</row>
    <row r="58" spans="1:30" s="6" customFormat="1" ht="22" customHeight="1">
      <c r="A58" s="67"/>
      <c r="B58" s="67" t="s">
        <v>137</v>
      </c>
      <c r="C58" s="67">
        <f>C59-C57</f>
        <v>377.64257377286259</v>
      </c>
      <c r="D58" s="67">
        <f t="shared" ref="D58:N58" si="75">D59-D57</f>
        <v>848.99593216435937</v>
      </c>
      <c r="E58" s="67">
        <f t="shared" si="75"/>
        <v>1756.3100025558044</v>
      </c>
      <c r="F58" s="67">
        <f t="shared" si="75"/>
        <v>1837.0634944519811</v>
      </c>
      <c r="G58" s="67">
        <f t="shared" si="75"/>
        <v>1886.1633821151156</v>
      </c>
      <c r="H58" s="67">
        <f t="shared" si="75"/>
        <v>1765.5362018707283</v>
      </c>
      <c r="I58" s="67">
        <f t="shared" si="75"/>
        <v>1769.8613785874322</v>
      </c>
      <c r="J58" s="67">
        <f t="shared" si="75"/>
        <v>1837.2498733005696</v>
      </c>
      <c r="K58" s="67">
        <f t="shared" si="75"/>
        <v>1898.9183203506791</v>
      </c>
      <c r="L58" s="67">
        <f t="shared" si="75"/>
        <v>1975.5417334753747</v>
      </c>
      <c r="M58" s="67">
        <f t="shared" si="75"/>
        <v>2041.8777519442845</v>
      </c>
      <c r="N58" s="67">
        <f t="shared" si="75"/>
        <v>2110.4523302050466</v>
      </c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</row>
    <row r="59" spans="1:30" s="6" customFormat="1" ht="22" customHeight="1">
      <c r="A59" s="67"/>
      <c r="B59" s="67" t="s">
        <v>136</v>
      </c>
      <c r="C59" s="71">
        <v>471</v>
      </c>
      <c r="D59" s="71">
        <v>1015</v>
      </c>
      <c r="E59" s="71">
        <v>2125</v>
      </c>
      <c r="F59" s="71">
        <v>2289</v>
      </c>
      <c r="G59" s="71">
        <v>2356</v>
      </c>
      <c r="H59" s="71">
        <v>2260</v>
      </c>
      <c r="I59" s="71">
        <f t="shared" ref="I59:N59" si="76">H59*(1+I10)</f>
        <v>2271.2999999999997</v>
      </c>
      <c r="J59" s="71">
        <f t="shared" si="76"/>
        <v>2362.1519999999996</v>
      </c>
      <c r="K59" s="71">
        <f t="shared" si="76"/>
        <v>2444.8273199999994</v>
      </c>
      <c r="L59" s="71">
        <f t="shared" si="76"/>
        <v>2548.7324810999994</v>
      </c>
      <c r="M59" s="71">
        <f t="shared" si="76"/>
        <v>2637.9381179384991</v>
      </c>
      <c r="N59" s="71">
        <f t="shared" si="76"/>
        <v>2730.2659520663465</v>
      </c>
    </row>
    <row r="60" spans="1:30" s="6" customFormat="1" ht="22" customHeight="1">
      <c r="A60" s="67"/>
      <c r="B60" s="64" t="s">
        <v>143</v>
      </c>
      <c r="C60" s="64">
        <f>(C59-1517)/1517</f>
        <v>-0.68951878707976266</v>
      </c>
      <c r="D60" s="64">
        <f>(D58-C58)/C58</f>
        <v>1.2481467692649442</v>
      </c>
      <c r="E60" s="64">
        <f t="shared" ref="E60:N60" si="77">(E58-D58)/D58</f>
        <v>1.0686907157239427</v>
      </c>
      <c r="F60" s="64">
        <f t="shared" si="77"/>
        <v>4.5979065073172266E-2</v>
      </c>
      <c r="G60" s="64">
        <f t="shared" si="77"/>
        <v>2.6727376495923241E-2</v>
      </c>
      <c r="H60" s="64">
        <f t="shared" si="77"/>
        <v>-6.3953728180809979E-2</v>
      </c>
      <c r="I60" s="64">
        <f t="shared" si="77"/>
        <v>2.4497808156644209E-3</v>
      </c>
      <c r="J60" s="64">
        <f t="shared" si="77"/>
        <v>3.8075577855098269E-2</v>
      </c>
      <c r="K60" s="64">
        <f t="shared" si="77"/>
        <v>3.3565628685728981E-2</v>
      </c>
      <c r="L60" s="64">
        <f t="shared" si="77"/>
        <v>4.0351084248081474E-2</v>
      </c>
      <c r="M60" s="64">
        <f t="shared" si="77"/>
        <v>3.3578646983180332E-2</v>
      </c>
      <c r="N60" s="64">
        <f t="shared" si="77"/>
        <v>3.3584076321643209E-2</v>
      </c>
      <c r="O60" s="2"/>
      <c r="P60" s="2"/>
      <c r="Q60" s="2"/>
      <c r="R60" s="2"/>
      <c r="S60" s="2"/>
      <c r="T60" s="2"/>
      <c r="U60" s="2"/>
      <c r="V60" s="2"/>
      <c r="W60" s="35"/>
      <c r="X60" s="2"/>
    </row>
    <row r="61" spans="1:30" s="6" customFormat="1" ht="22" customHeight="1">
      <c r="A61" s="101" t="s">
        <v>110</v>
      </c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167"/>
      <c r="M61" s="167"/>
      <c r="N61" s="93"/>
      <c r="O61" s="2"/>
      <c r="P61" s="2"/>
      <c r="Q61" s="2"/>
      <c r="R61" s="2"/>
      <c r="S61" s="2"/>
      <c r="T61" s="2"/>
      <c r="U61" s="2"/>
      <c r="V61" s="2"/>
      <c r="W61" s="35"/>
      <c r="X61" s="2"/>
    </row>
    <row r="62" spans="1:30" s="6" customFormat="1" ht="22" customHeight="1">
      <c r="B62" s="67" t="s">
        <v>139</v>
      </c>
      <c r="C62" s="67">
        <f>C37</f>
        <v>75.914849777056531</v>
      </c>
      <c r="D62" s="67">
        <f t="shared" ref="D62:N62" si="78">D37</f>
        <v>125.77056962128829</v>
      </c>
      <c r="E62" s="67">
        <f t="shared" si="78"/>
        <v>249.494690035178</v>
      </c>
      <c r="F62" s="67">
        <f t="shared" si="78"/>
        <v>267.33159830144945</v>
      </c>
      <c r="G62" s="67">
        <f t="shared" si="78"/>
        <v>267.02514064000854</v>
      </c>
      <c r="H62" s="67">
        <f t="shared" si="78"/>
        <v>281.36302849302814</v>
      </c>
      <c r="I62" s="67">
        <f t="shared" si="78"/>
        <v>285.33188811352289</v>
      </c>
      <c r="J62" s="67">
        <f t="shared" si="78"/>
        <v>298.6832455466668</v>
      </c>
      <c r="K62" s="67">
        <f t="shared" si="78"/>
        <v>310.63671395974603</v>
      </c>
      <c r="L62" s="67">
        <f t="shared" si="78"/>
        <v>326.16075285188828</v>
      </c>
      <c r="M62" s="67">
        <f t="shared" si="78"/>
        <v>339.17417286219472</v>
      </c>
      <c r="N62" s="67">
        <f t="shared" si="78"/>
        <v>352.69040606797864</v>
      </c>
      <c r="O62" s="2"/>
      <c r="P62" s="2"/>
      <c r="Q62" s="2"/>
      <c r="R62" s="2"/>
      <c r="S62" s="2"/>
      <c r="T62" s="2"/>
      <c r="U62" s="2"/>
      <c r="V62" s="2"/>
      <c r="W62" s="35"/>
      <c r="X62" s="2"/>
    </row>
    <row r="63" spans="1:30" s="6" customFormat="1" ht="22" customHeight="1">
      <c r="B63" s="67" t="s">
        <v>140</v>
      </c>
      <c r="C63" s="67">
        <f>C64-C62</f>
        <v>307.08515022294347</v>
      </c>
      <c r="D63" s="67">
        <f t="shared" ref="D63:N63" si="79">D64-D62</f>
        <v>643.22943037871175</v>
      </c>
      <c r="E63" s="67">
        <f t="shared" si="79"/>
        <v>1188.5053099648221</v>
      </c>
      <c r="F63" s="67">
        <f t="shared" si="79"/>
        <v>1086.6684016985505</v>
      </c>
      <c r="G63" s="67">
        <f t="shared" si="79"/>
        <v>1071.9748593599916</v>
      </c>
      <c r="H63" s="67">
        <f t="shared" si="79"/>
        <v>1004.6369715069718</v>
      </c>
      <c r="I63" s="67">
        <f t="shared" si="79"/>
        <v>1007.098111886477</v>
      </c>
      <c r="J63" s="67">
        <f t="shared" si="79"/>
        <v>1045.4439544533332</v>
      </c>
      <c r="K63" s="67">
        <f t="shared" si="79"/>
        <v>1080.5349380402538</v>
      </c>
      <c r="L63" s="67">
        <f t="shared" si="79"/>
        <v>1124.1356943581116</v>
      </c>
      <c r="M63" s="67">
        <f t="shared" si="79"/>
        <v>1161.8826500001551</v>
      </c>
      <c r="N63" s="67">
        <f t="shared" si="79"/>
        <v>1200.9034055945531</v>
      </c>
      <c r="O63" s="2"/>
      <c r="P63" s="2"/>
      <c r="Q63" s="2"/>
      <c r="R63" s="2"/>
      <c r="S63" s="2"/>
      <c r="T63" s="2"/>
      <c r="U63" s="2"/>
      <c r="V63" s="2"/>
      <c r="W63" s="35"/>
      <c r="X63" s="2"/>
    </row>
    <row r="64" spans="1:30" s="6" customFormat="1" ht="22" customHeight="1">
      <c r="A64" s="54"/>
      <c r="B64" s="101" t="s">
        <v>110</v>
      </c>
      <c r="C64" s="71">
        <v>383</v>
      </c>
      <c r="D64" s="71">
        <v>769</v>
      </c>
      <c r="E64" s="71">
        <v>1438</v>
      </c>
      <c r="F64" s="71">
        <v>1354</v>
      </c>
      <c r="G64" s="71">
        <v>1339</v>
      </c>
      <c r="H64" s="71">
        <v>1286</v>
      </c>
      <c r="I64" s="71">
        <f t="shared" ref="I64:N64" si="80">H64*(1+I10)</f>
        <v>1292.4299999999998</v>
      </c>
      <c r="J64" s="71">
        <f t="shared" si="80"/>
        <v>1344.1271999999999</v>
      </c>
      <c r="K64" s="71">
        <f t="shared" si="80"/>
        <v>1391.1716519999998</v>
      </c>
      <c r="L64" s="71">
        <f t="shared" si="80"/>
        <v>1450.2964472099998</v>
      </c>
      <c r="M64" s="71">
        <f t="shared" si="80"/>
        <v>1501.0568228623497</v>
      </c>
      <c r="N64" s="71">
        <f t="shared" si="80"/>
        <v>1553.5938116625318</v>
      </c>
      <c r="O64" s="2"/>
      <c r="P64" s="2"/>
      <c r="Q64" s="2"/>
      <c r="R64" s="2"/>
      <c r="S64" s="2"/>
      <c r="T64" s="2"/>
      <c r="U64" s="2"/>
      <c r="V64" s="2"/>
      <c r="W64" s="35"/>
      <c r="X64" s="2"/>
    </row>
    <row r="65" spans="1:24" s="6" customFormat="1" ht="22" customHeight="1">
      <c r="A65" s="58"/>
      <c r="B65" s="101" t="s">
        <v>141</v>
      </c>
      <c r="C65" s="72">
        <f>(C64-1153)/1153</f>
        <v>-0.66782307025151777</v>
      </c>
      <c r="D65" s="72">
        <f>(D63-C63)/C63</f>
        <v>1.0946288998726508</v>
      </c>
      <c r="E65" s="72">
        <f t="shared" ref="E65:N65" si="81">(E63-D63)/D63</f>
        <v>0.84771599966293576</v>
      </c>
      <c r="F65" s="72">
        <f t="shared" si="81"/>
        <v>-8.5684857621112206E-2</v>
      </c>
      <c r="G65" s="72">
        <f t="shared" si="81"/>
        <v>-1.3521643139334625E-2</v>
      </c>
      <c r="H65" s="72">
        <f t="shared" si="81"/>
        <v>-6.2816667074844429E-2</v>
      </c>
      <c r="I65" s="72">
        <f t="shared" si="81"/>
        <v>2.4497808156646326E-3</v>
      </c>
      <c r="J65" s="72">
        <f t="shared" si="81"/>
        <v>3.8075577855098408E-2</v>
      </c>
      <c r="K65" s="72">
        <f t="shared" si="81"/>
        <v>3.356562868572887E-2</v>
      </c>
      <c r="L65" s="72">
        <f t="shared" si="81"/>
        <v>4.035108424808146E-2</v>
      </c>
      <c r="M65" s="72">
        <f t="shared" si="81"/>
        <v>3.3578646983180513E-2</v>
      </c>
      <c r="N65" s="72">
        <f t="shared" si="81"/>
        <v>3.3584076321642974E-2</v>
      </c>
      <c r="O65" s="2"/>
      <c r="P65" s="2"/>
      <c r="Q65" s="2"/>
      <c r="R65" s="2"/>
      <c r="S65" s="2"/>
      <c r="T65" s="2"/>
      <c r="U65" s="2"/>
      <c r="V65" s="2"/>
      <c r="W65" s="35"/>
      <c r="X65" s="2"/>
    </row>
    <row r="66" spans="1:24" s="6" customFormat="1" ht="22" customHeight="1">
      <c r="A66" s="67"/>
      <c r="B66" s="54"/>
      <c r="C66" s="86"/>
      <c r="D66" s="86"/>
      <c r="E66" s="86"/>
      <c r="F66" s="86"/>
      <c r="G66" s="54"/>
      <c r="H66" s="54"/>
      <c r="I66" s="54"/>
      <c r="J66" s="54"/>
      <c r="K66" s="66"/>
      <c r="L66" s="65"/>
      <c r="M66" s="65"/>
      <c r="N66" s="65"/>
      <c r="O66" s="2"/>
      <c r="P66" s="2"/>
      <c r="Q66" s="2"/>
      <c r="R66" s="2"/>
      <c r="S66" s="2"/>
      <c r="T66" s="2"/>
      <c r="U66" s="2"/>
      <c r="V66" s="2"/>
      <c r="W66" s="35"/>
      <c r="X66" s="2"/>
    </row>
    <row r="67" spans="1:24" s="6" customFormat="1" ht="22" customHeight="1">
      <c r="A67" s="67"/>
      <c r="B67" s="54" t="s">
        <v>111</v>
      </c>
      <c r="C67" s="76">
        <f t="shared" ref="C67:N67" si="82">C28+C54+C59+C64</f>
        <v>2131.1672680000001</v>
      </c>
      <c r="D67" s="76">
        <f t="shared" si="82"/>
        <v>4597.9596160000001</v>
      </c>
      <c r="E67" s="76">
        <f t="shared" si="82"/>
        <v>8126.7461031500006</v>
      </c>
      <c r="F67" s="76">
        <f t="shared" si="82"/>
        <v>8767.29131495</v>
      </c>
      <c r="G67" s="76">
        <f t="shared" si="82"/>
        <v>8785.4199584999988</v>
      </c>
      <c r="H67" s="76">
        <f t="shared" si="82"/>
        <v>8405.3474000000006</v>
      </c>
      <c r="I67" s="76">
        <f t="shared" si="82"/>
        <v>8371.5237004972951</v>
      </c>
      <c r="J67" s="76">
        <f t="shared" si="82"/>
        <v>8649.8910660072397</v>
      </c>
      <c r="K67" s="76">
        <f t="shared" si="82"/>
        <v>8909.4196626973862</v>
      </c>
      <c r="L67" s="76">
        <f t="shared" si="82"/>
        <v>9221.9470847132579</v>
      </c>
      <c r="M67" s="76">
        <f t="shared" si="82"/>
        <v>9499.7516513970622</v>
      </c>
      <c r="N67" s="76">
        <f t="shared" si="82"/>
        <v>9786.3801062891744</v>
      </c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s="6" customFormat="1" ht="22" customHeight="1">
      <c r="A68" s="67"/>
      <c r="B68" s="62" t="s">
        <v>112</v>
      </c>
      <c r="C68" s="72">
        <f t="shared" ref="C68:N68" si="83">C67/C198</f>
        <v>0.44819111925318417</v>
      </c>
      <c r="D68" s="72">
        <f t="shared" si="83"/>
        <v>0.50448563955826131</v>
      </c>
      <c r="E68" s="72">
        <f t="shared" si="83"/>
        <v>0.65163850356395647</v>
      </c>
      <c r="F68" s="72">
        <f t="shared" si="83"/>
        <v>0.54715701815399442</v>
      </c>
      <c r="G68" s="72">
        <f t="shared" si="83"/>
        <v>0.51436469540504504</v>
      </c>
      <c r="H68" s="72">
        <f t="shared" si="83"/>
        <v>0.48603766058514997</v>
      </c>
      <c r="I68" s="72">
        <f t="shared" si="83"/>
        <v>0.48910317908814016</v>
      </c>
      <c r="J68" s="72">
        <f t="shared" si="83"/>
        <v>0.47790032359775336</v>
      </c>
      <c r="K68" s="72">
        <f t="shared" si="83"/>
        <v>0.47375297811022532</v>
      </c>
      <c r="L68" s="72">
        <f t="shared" si="83"/>
        <v>0.47071488502790559</v>
      </c>
      <c r="M68" s="72">
        <f t="shared" si="83"/>
        <v>0.46636104400994743</v>
      </c>
      <c r="N68" s="72">
        <f t="shared" si="83"/>
        <v>0.4618950060744797</v>
      </c>
      <c r="O68" s="35"/>
      <c r="P68" s="35"/>
      <c r="Q68" s="35"/>
      <c r="R68" s="35"/>
      <c r="S68" s="3"/>
      <c r="T68" s="35"/>
      <c r="U68" s="35"/>
      <c r="V68" s="35"/>
      <c r="W68" s="35"/>
      <c r="X68" s="2"/>
    </row>
    <row r="69" spans="1:24" s="6" customFormat="1" ht="22" customHeight="1">
      <c r="A69" s="67"/>
      <c r="B69" s="62" t="s">
        <v>113</v>
      </c>
      <c r="C69" s="64">
        <f t="shared" ref="C69:G69" si="84">C70/C67</f>
        <v>-0.29509380479227049</v>
      </c>
      <c r="D69" s="64">
        <f>D70/D67</f>
        <v>0.4657556200216933</v>
      </c>
      <c r="E69" s="64">
        <f t="shared" si="84"/>
        <v>-4.3020386787042952E-2</v>
      </c>
      <c r="F69" s="64">
        <f t="shared" si="84"/>
        <v>0.17182715390878336</v>
      </c>
      <c r="G69" s="64">
        <f t="shared" si="84"/>
        <v>0.17273974959642494</v>
      </c>
      <c r="H69" s="64">
        <f>H70/H67</f>
        <v>0.15056092772900642</v>
      </c>
      <c r="I69" s="154">
        <f>AVERAGE(F69:H69)</f>
        <v>0.16504261041140492</v>
      </c>
      <c r="J69" s="64">
        <f>$I$69</f>
        <v>0.16504261041140492</v>
      </c>
      <c r="K69" s="64">
        <f>$I$69</f>
        <v>0.16504261041140492</v>
      </c>
      <c r="L69" s="64">
        <f>$I$69</f>
        <v>0.16504261041140492</v>
      </c>
      <c r="M69" s="64">
        <f>$I$69</f>
        <v>0.16504261041140492</v>
      </c>
      <c r="N69" s="64">
        <f>$I$69</f>
        <v>0.16504261041140492</v>
      </c>
      <c r="O69" s="35"/>
      <c r="P69" s="35"/>
      <c r="Q69" s="35"/>
      <c r="R69" s="35"/>
      <c r="S69" s="3"/>
      <c r="T69" s="35"/>
      <c r="U69" s="35"/>
      <c r="V69" s="35"/>
      <c r="W69" s="35"/>
      <c r="X69" s="2"/>
    </row>
    <row r="70" spans="1:24" s="6" customFormat="1" ht="22" customHeight="1">
      <c r="A70" s="70"/>
      <c r="B70" s="62" t="s">
        <v>114</v>
      </c>
      <c r="C70" s="74">
        <f>232.188-(1210.556*C68)-(710.683*C68)</f>
        <v>-628.89425776286839</v>
      </c>
      <c r="D70" s="74">
        <f>3142.308-(1150.61*D68)-(833.158*D68)</f>
        <v>2141.5255317847868</v>
      </c>
      <c r="E70" s="74">
        <f>3190.486-(3482.05*E68)-(1950.566*E68)</f>
        <v>-349.61576067760711</v>
      </c>
      <c r="F70" s="74">
        <f>3190.486-(814.128*F68)-(2263.649*F68)</f>
        <v>1506.4587141370534</v>
      </c>
      <c r="G70" s="74">
        <f>3106.543-(831.097*G68)-(2258.057*G68)</f>
        <v>1517.5912437307238</v>
      </c>
      <c r="H70" s="74">
        <f>2857.873-(1017.794*H68)-(2258.405*H68)</f>
        <v>1265.5169024285922</v>
      </c>
      <c r="I70" s="74">
        <f>I67*I69</f>
        <v>1381.6581246510179</v>
      </c>
      <c r="J70" s="74">
        <f t="shared" ref="J70:N70" si="85">J67*J69</f>
        <v>1427.6006013081249</v>
      </c>
      <c r="K70" s="74">
        <f t="shared" si="85"/>
        <v>1470.4338783822752</v>
      </c>
      <c r="L70" s="74">
        <f t="shared" si="85"/>
        <v>1522.0142199369216</v>
      </c>
      <c r="M70" s="74">
        <f t="shared" si="85"/>
        <v>1567.8638108066259</v>
      </c>
      <c r="N70" s="74">
        <f t="shared" si="85"/>
        <v>1615.1697192202078</v>
      </c>
      <c r="O70" s="35"/>
      <c r="P70" s="35"/>
      <c r="Q70" s="35"/>
      <c r="R70" s="35"/>
      <c r="S70" s="3"/>
      <c r="T70" s="35"/>
      <c r="U70" s="35"/>
      <c r="V70" s="35"/>
      <c r="W70" s="35"/>
      <c r="X70" s="2"/>
    </row>
    <row r="71" spans="1:24" s="4" customFormat="1" ht="22" customHeight="1">
      <c r="A71" s="70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s="5" customFormat="1" ht="22" customHeight="1">
      <c r="A72" s="70" t="s">
        <v>115</v>
      </c>
      <c r="B72" s="54" t="s">
        <v>116</v>
      </c>
      <c r="C72" s="157" t="s">
        <v>90</v>
      </c>
      <c r="D72" s="157" t="s">
        <v>90</v>
      </c>
      <c r="E72" s="157" t="s">
        <v>90</v>
      </c>
      <c r="F72" s="157" t="s">
        <v>90</v>
      </c>
      <c r="G72" s="157" t="s">
        <v>90</v>
      </c>
      <c r="H72" s="157" t="s">
        <v>90</v>
      </c>
      <c r="I72" s="155">
        <v>0.01</v>
      </c>
      <c r="J72" s="155">
        <v>1.4999999999999999E-2</v>
      </c>
      <c r="K72" s="79">
        <f>$J$7</f>
        <v>1.4999999999999999E-2</v>
      </c>
      <c r="L72" s="79">
        <f t="shared" ref="L72:N72" si="86">$J$7</f>
        <v>1.4999999999999999E-2</v>
      </c>
      <c r="M72" s="79">
        <f t="shared" si="86"/>
        <v>1.4999999999999999E-2</v>
      </c>
      <c r="N72" s="79">
        <f t="shared" si="86"/>
        <v>1.4999999999999999E-2</v>
      </c>
      <c r="O72" s="35"/>
      <c r="P72" s="35"/>
      <c r="Q72" s="35"/>
      <c r="R72" s="35"/>
      <c r="S72" s="2"/>
      <c r="T72" s="2"/>
      <c r="U72" s="2"/>
      <c r="V72" s="2"/>
      <c r="W72" s="2"/>
      <c r="X72" s="2"/>
    </row>
    <row r="73" spans="1:24" s="5" customFormat="1" ht="22" customHeight="1">
      <c r="A73" s="67"/>
      <c r="B73" s="64" t="s">
        <v>72</v>
      </c>
      <c r="C73" s="157" t="s">
        <v>90</v>
      </c>
      <c r="D73" s="157" t="s">
        <v>90</v>
      </c>
      <c r="E73" s="157" t="s">
        <v>90</v>
      </c>
      <c r="F73" s="157" t="s">
        <v>90</v>
      </c>
      <c r="G73" s="157" t="s">
        <v>90</v>
      </c>
      <c r="H73" s="157" t="s">
        <v>90</v>
      </c>
      <c r="I73" s="154">
        <v>0.01</v>
      </c>
      <c r="J73" s="154">
        <v>1.4999999999999999E-2</v>
      </c>
      <c r="K73" s="79">
        <f>$J$73</f>
        <v>1.4999999999999999E-2</v>
      </c>
      <c r="L73" s="79">
        <f t="shared" ref="L73:N73" si="87">$J$73</f>
        <v>1.4999999999999999E-2</v>
      </c>
      <c r="M73" s="79">
        <f t="shared" si="87"/>
        <v>1.4999999999999999E-2</v>
      </c>
      <c r="N73" s="79">
        <f t="shared" si="87"/>
        <v>1.4999999999999999E-2</v>
      </c>
      <c r="O73" s="35"/>
      <c r="P73" s="35"/>
      <c r="Q73" s="35"/>
      <c r="R73" s="35"/>
      <c r="S73" s="3"/>
      <c r="T73" s="35"/>
      <c r="U73" s="35"/>
      <c r="V73" s="35"/>
      <c r="W73" s="35"/>
      <c r="X73" s="2"/>
    </row>
    <row r="74" spans="1:24" s="5" customFormat="1" ht="22" customHeight="1">
      <c r="A74" s="67"/>
      <c r="B74" s="64" t="s">
        <v>93</v>
      </c>
      <c r="C74" s="157" t="s">
        <v>90</v>
      </c>
      <c r="D74" s="157" t="s">
        <v>90</v>
      </c>
      <c r="E74" s="157" t="s">
        <v>90</v>
      </c>
      <c r="F74" s="157" t="s">
        <v>90</v>
      </c>
      <c r="G74" s="157" t="s">
        <v>90</v>
      </c>
      <c r="H74" s="157" t="s">
        <v>90</v>
      </c>
      <c r="I74" s="64">
        <v>0</v>
      </c>
      <c r="J74" s="154">
        <v>0</v>
      </c>
      <c r="K74" s="64">
        <v>0</v>
      </c>
      <c r="L74" s="156">
        <v>0</v>
      </c>
      <c r="M74" s="64">
        <v>0</v>
      </c>
      <c r="N74" s="64">
        <v>0</v>
      </c>
      <c r="O74" s="35"/>
      <c r="P74" s="35"/>
      <c r="Q74" s="35"/>
      <c r="R74" s="35"/>
      <c r="S74" s="3"/>
      <c r="T74" s="35"/>
      <c r="U74" s="35"/>
      <c r="V74" s="35"/>
      <c r="W74" s="35"/>
      <c r="X74" s="2"/>
    </row>
    <row r="75" spans="1:24" s="5" customFormat="1" ht="22" customHeight="1">
      <c r="A75" s="66"/>
      <c r="B75" s="64" t="s">
        <v>91</v>
      </c>
      <c r="C75" s="157" t="s">
        <v>90</v>
      </c>
      <c r="D75" s="157" t="s">
        <v>90</v>
      </c>
      <c r="E75" s="157" t="s">
        <v>90</v>
      </c>
      <c r="F75" s="157" t="s">
        <v>90</v>
      </c>
      <c r="G75" s="157" t="s">
        <v>90</v>
      </c>
      <c r="H75" s="157" t="s">
        <v>90</v>
      </c>
      <c r="I75" s="158">
        <f>SUM(I72:I74)</f>
        <v>0.02</v>
      </c>
      <c r="J75" s="158">
        <f>SUM(J72:J74)</f>
        <v>0.03</v>
      </c>
      <c r="K75" s="158">
        <f>SUM(K72:K74)</f>
        <v>0.03</v>
      </c>
      <c r="L75" s="158">
        <f t="shared" ref="L75:N75" si="88">SUM(L72:L74)</f>
        <v>0.03</v>
      </c>
      <c r="M75" s="158">
        <f t="shared" si="88"/>
        <v>0.03</v>
      </c>
      <c r="N75" s="158">
        <f t="shared" si="88"/>
        <v>0.03</v>
      </c>
      <c r="O75" s="35"/>
      <c r="P75" s="35"/>
      <c r="Q75" s="35"/>
      <c r="R75" s="35"/>
      <c r="S75" s="3"/>
      <c r="T75" s="35"/>
      <c r="U75" s="35"/>
      <c r="V75" s="35"/>
      <c r="W75" s="35"/>
      <c r="X75" s="2"/>
    </row>
    <row r="76" spans="1:24" s="5" customFormat="1" ht="22" customHeight="1">
      <c r="A76" s="65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35"/>
      <c r="P76" s="35"/>
      <c r="Q76" s="35"/>
      <c r="R76" s="35"/>
      <c r="S76" s="3"/>
      <c r="T76" s="35"/>
      <c r="U76" s="35"/>
      <c r="V76" s="35"/>
      <c r="W76" s="35"/>
      <c r="X76" s="2"/>
    </row>
    <row r="77" spans="1:24" s="5" customFormat="1" ht="22" customHeight="1">
      <c r="A77" s="54" t="s">
        <v>94</v>
      </c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35"/>
      <c r="P77" s="35"/>
      <c r="Q77" s="35"/>
      <c r="R77" s="35"/>
      <c r="S77" s="3"/>
      <c r="T77" s="35"/>
      <c r="U77" s="35"/>
      <c r="V77" s="35"/>
      <c r="W77" s="35"/>
      <c r="X77" s="2"/>
    </row>
    <row r="78" spans="1:24" s="4" customFormat="1" ht="22" customHeight="1">
      <c r="A78" s="152" t="s">
        <v>70</v>
      </c>
      <c r="B78" s="54" t="s">
        <v>82</v>
      </c>
      <c r="C78" s="71">
        <v>2422</v>
      </c>
      <c r="D78" s="71">
        <v>3980</v>
      </c>
      <c r="E78" s="71">
        <v>4469</v>
      </c>
      <c r="F78" s="71">
        <v>3886</v>
      </c>
      <c r="G78" s="71">
        <v>3909</v>
      </c>
      <c r="H78" s="71">
        <v>4001</v>
      </c>
      <c r="I78" s="83">
        <f>H78*(1+I75)</f>
        <v>4081.02</v>
      </c>
      <c r="J78" s="83">
        <f>I78*(1+J75)</f>
        <v>4203.4506000000001</v>
      </c>
      <c r="K78" s="83">
        <f>J78*(1+K75)</f>
        <v>4329.554118</v>
      </c>
      <c r="L78" s="83">
        <f t="shared" ref="L78:N78" si="89">K78*(1+L75)</f>
        <v>4459.4407415400001</v>
      </c>
      <c r="M78" s="83">
        <f t="shared" si="89"/>
        <v>4593.2239637862003</v>
      </c>
      <c r="N78" s="83">
        <f t="shared" si="89"/>
        <v>4731.0206826997864</v>
      </c>
      <c r="O78" s="35"/>
      <c r="P78" s="35"/>
      <c r="Q78" s="35"/>
      <c r="R78" s="35"/>
      <c r="S78" s="3"/>
      <c r="T78" s="35"/>
      <c r="U78" s="35"/>
      <c r="V78" s="35"/>
      <c r="W78" s="35"/>
      <c r="X78" s="2"/>
    </row>
    <row r="79" spans="1:24" s="5" customFormat="1" ht="22" customHeight="1">
      <c r="A79" s="136"/>
      <c r="B79" s="64" t="s">
        <v>67</v>
      </c>
      <c r="C79" s="72">
        <f>(C78-4226)/4226</f>
        <v>-0.4268812115475627</v>
      </c>
      <c r="D79" s="72">
        <f>(D78-C78)/C78</f>
        <v>0.64327002477291495</v>
      </c>
      <c r="E79" s="72">
        <f t="shared" ref="E79" si="90">(E78-D78)/D78</f>
        <v>0.1228643216080402</v>
      </c>
      <c r="F79" s="72">
        <f t="shared" ref="F79" si="91">(F78-E78)/E78</f>
        <v>-0.13045424032221972</v>
      </c>
      <c r="G79" s="72">
        <f t="shared" ref="G79" si="92">(G78-F78)/F78</f>
        <v>5.918682449819866E-3</v>
      </c>
      <c r="H79" s="72">
        <f t="shared" ref="H79" si="93">(H78-G78)/G78</f>
        <v>2.3535431056536198E-2</v>
      </c>
      <c r="I79" s="151">
        <f t="shared" ref="I79" si="94">(I78-H78)/H78</f>
        <v>1.9999999999999997E-2</v>
      </c>
      <c r="J79" s="151">
        <f>(J78-I78)/I78</f>
        <v>3.0000000000000034E-2</v>
      </c>
      <c r="K79" s="151">
        <f>(K78-J78)/J78</f>
        <v>2.9999999999999975E-2</v>
      </c>
      <c r="L79" s="151">
        <f t="shared" ref="L79" si="95">(L78-K78)/K78</f>
        <v>3.0000000000000016E-2</v>
      </c>
      <c r="M79" s="151">
        <f t="shared" ref="M79" si="96">(M78-L78)/L78</f>
        <v>3.0000000000000054E-2</v>
      </c>
      <c r="N79" s="151">
        <f t="shared" ref="N79" si="97">(N78-M78)/M78</f>
        <v>3.0000000000000023E-2</v>
      </c>
      <c r="O79" s="35"/>
      <c r="P79" s="35"/>
      <c r="Q79" s="35"/>
      <c r="R79" s="35"/>
      <c r="S79" s="3"/>
      <c r="T79" s="35"/>
      <c r="U79" s="35"/>
      <c r="V79" s="35"/>
      <c r="W79" s="35"/>
      <c r="X79" s="2"/>
    </row>
    <row r="80" spans="1:24" s="4" customFormat="1" ht="22" customHeight="1">
      <c r="A80" s="152"/>
      <c r="B80" s="54" t="s">
        <v>68</v>
      </c>
      <c r="C80" s="84">
        <v>0.20100000000000001</v>
      </c>
      <c r="D80" s="79">
        <v>0.19800000000000001</v>
      </c>
      <c r="E80" s="79">
        <v>0.20899999999999999</v>
      </c>
      <c r="F80" s="79">
        <v>0.21</v>
      </c>
      <c r="G80" s="79">
        <v>0.20599999999999999</v>
      </c>
      <c r="H80" s="79">
        <v>0.20399999999999999</v>
      </c>
      <c r="I80" s="155">
        <f>AVERAGE(C80:H80)</f>
        <v>0.20466666666666666</v>
      </c>
      <c r="J80" s="79">
        <f>$I$15</f>
        <v>0.24666666666666667</v>
      </c>
      <c r="K80" s="79">
        <f>$I$15</f>
        <v>0.24666666666666667</v>
      </c>
      <c r="L80" s="79">
        <f>$I$15</f>
        <v>0.24666666666666667</v>
      </c>
      <c r="M80" s="79">
        <f>$I$15</f>
        <v>0.24666666666666667</v>
      </c>
      <c r="N80" s="79">
        <f>$I$15</f>
        <v>0.24666666666666667</v>
      </c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s="4" customFormat="1" ht="22" customHeight="1">
      <c r="A81" s="152"/>
      <c r="B81" s="54" t="s">
        <v>83</v>
      </c>
      <c r="C81" s="71">
        <f>C78*C80</f>
        <v>486.822</v>
      </c>
      <c r="D81" s="71">
        <f>D78*D80</f>
        <v>788.04000000000008</v>
      </c>
      <c r="E81" s="71">
        <f>E78*E80-1</f>
        <v>933.02099999999996</v>
      </c>
      <c r="F81" s="71">
        <f>F78*F80-2</f>
        <v>814.06</v>
      </c>
      <c r="G81" s="71">
        <f>G78*G80+2</f>
        <v>807.25399999999991</v>
      </c>
      <c r="H81" s="71">
        <f>H78*H80+2</f>
        <v>818.20399999999995</v>
      </c>
      <c r="I81" s="71">
        <f t="shared" ref="I81:N81" si="98">I78*I80</f>
        <v>835.24875999999995</v>
      </c>
      <c r="J81" s="71">
        <f t="shared" si="98"/>
        <v>1036.851148</v>
      </c>
      <c r="K81" s="71">
        <f t="shared" si="98"/>
        <v>1067.9566824400001</v>
      </c>
      <c r="L81" s="71">
        <f t="shared" si="98"/>
        <v>1099.9953829132</v>
      </c>
      <c r="M81" s="71">
        <f t="shared" si="98"/>
        <v>1132.9952444005962</v>
      </c>
      <c r="N81" s="71">
        <f t="shared" si="98"/>
        <v>1166.9851017326141</v>
      </c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s="12" customFormat="1" ht="22" customHeight="1">
      <c r="A82" s="152"/>
      <c r="B82" s="54"/>
      <c r="C82" s="54"/>
      <c r="D82" s="54"/>
      <c r="E82" s="54"/>
      <c r="F82" s="54"/>
      <c r="G82" s="54"/>
      <c r="H82" s="54"/>
      <c r="I82" s="54"/>
      <c r="J82" s="54"/>
      <c r="K82" s="71"/>
      <c r="L82" s="71"/>
      <c r="M82" s="71"/>
      <c r="N82" s="71"/>
      <c r="O82" s="6"/>
      <c r="P82" s="6"/>
      <c r="Q82" s="6"/>
      <c r="R82" s="6"/>
      <c r="S82" s="5"/>
      <c r="U82" s="35"/>
      <c r="V82" s="5"/>
    </row>
    <row r="83" spans="1:24" s="5" customFormat="1" ht="22" customHeight="1">
      <c r="A83" s="152" t="s">
        <v>73</v>
      </c>
      <c r="B83" s="54" t="s">
        <v>84</v>
      </c>
      <c r="C83" s="71">
        <v>14527</v>
      </c>
      <c r="D83" s="71">
        <v>25566</v>
      </c>
      <c r="E83" s="71">
        <v>26226</v>
      </c>
      <c r="F83" s="71">
        <v>26850</v>
      </c>
      <c r="G83" s="71">
        <v>26894</v>
      </c>
      <c r="H83" s="71">
        <v>27161</v>
      </c>
      <c r="I83" s="71">
        <f t="shared" ref="I83:N83" si="99">H83*(1+I75)</f>
        <v>27704.22</v>
      </c>
      <c r="J83" s="71">
        <f>I83*(1+J75)</f>
        <v>28535.346600000001</v>
      </c>
      <c r="K83" s="71">
        <f>J83*(1+K75)</f>
        <v>29391.406998000002</v>
      </c>
      <c r="L83" s="71">
        <f t="shared" si="99"/>
        <v>30273.149207940001</v>
      </c>
      <c r="M83" s="71">
        <f t="shared" si="99"/>
        <v>31181.343684178202</v>
      </c>
      <c r="N83" s="71">
        <f t="shared" si="99"/>
        <v>32116.78399470355</v>
      </c>
      <c r="O83" s="6"/>
      <c r="P83" s="6"/>
      <c r="Q83" s="6"/>
      <c r="R83" s="6"/>
      <c r="U83" s="35"/>
    </row>
    <row r="84" spans="1:24" s="5" customFormat="1" ht="22" customHeight="1">
      <c r="A84" s="152"/>
      <c r="B84" s="54" t="s">
        <v>69</v>
      </c>
      <c r="C84" s="72">
        <f>(C83-25031)/25031</f>
        <v>-0.41963964683792099</v>
      </c>
      <c r="D84" s="72">
        <f>(D83-C83)/C83</f>
        <v>0.75989536724719486</v>
      </c>
      <c r="E84" s="72">
        <f t="shared" ref="E84" si="100">(E83-D83)/D83</f>
        <v>2.5815536259094111E-2</v>
      </c>
      <c r="F84" s="72">
        <f t="shared" ref="F84" si="101">(F83-E83)/E83</f>
        <v>2.3793182338137726E-2</v>
      </c>
      <c r="G84" s="151">
        <f t="shared" ref="G84" si="102">(G83-F83)/F83</f>
        <v>1.638733705772812E-3</v>
      </c>
      <c r="H84" s="72">
        <f t="shared" ref="H84" si="103">(H83-G83)/G83</f>
        <v>9.9278649512902512E-3</v>
      </c>
      <c r="I84" s="151">
        <f t="shared" ref="I84" si="104">(I83-H83)/H83</f>
        <v>2.0000000000000042E-2</v>
      </c>
      <c r="J84" s="151">
        <f>(J83-I83)/I83</f>
        <v>2.9999999999999985E-2</v>
      </c>
      <c r="K84" s="151">
        <f>(K83-J83)/J83</f>
        <v>3.0000000000000051E-2</v>
      </c>
      <c r="L84" s="151">
        <f t="shared" ref="L84" si="105">(L83-K83)/K83</f>
        <v>2.9999999999999968E-2</v>
      </c>
      <c r="M84" s="151">
        <f t="shared" ref="M84" si="106">(M83-L83)/L83</f>
        <v>3.0000000000000027E-2</v>
      </c>
      <c r="N84" s="151">
        <f t="shared" ref="N84" si="107">(N83-M83)/M83</f>
        <v>3.0000000000000054E-2</v>
      </c>
      <c r="O84" s="6"/>
      <c r="P84" s="6"/>
      <c r="Q84" s="6"/>
      <c r="R84" s="6"/>
      <c r="U84" s="35"/>
    </row>
    <row r="85" spans="1:24" s="5" customFormat="1" ht="22" customHeight="1">
      <c r="A85" s="152"/>
      <c r="B85" s="54" t="s">
        <v>76</v>
      </c>
      <c r="C85" s="79">
        <v>9.7000000000000003E-2</v>
      </c>
      <c r="D85" s="79">
        <v>9.6000000000000002E-2</v>
      </c>
      <c r="E85" s="79">
        <v>9.5000000000000001E-2</v>
      </c>
      <c r="F85" s="79">
        <v>9.6000000000000002E-2</v>
      </c>
      <c r="G85" s="79">
        <v>9.9000000000000005E-2</v>
      </c>
      <c r="H85" s="79">
        <v>0.10100000000000001</v>
      </c>
      <c r="I85" s="156">
        <f>AVERAGE(C85:H85)</f>
        <v>9.7333333333333327E-2</v>
      </c>
      <c r="J85" s="79">
        <f>$I$20</f>
        <v>9.3666666666666662E-2</v>
      </c>
      <c r="K85" s="79">
        <f>$I$20</f>
        <v>9.3666666666666662E-2</v>
      </c>
      <c r="L85" s="79">
        <f>$I$20</f>
        <v>9.3666666666666662E-2</v>
      </c>
      <c r="M85" s="79">
        <f>$I$20</f>
        <v>9.3666666666666662E-2</v>
      </c>
      <c r="N85" s="79">
        <f>$I$20</f>
        <v>9.3666666666666662E-2</v>
      </c>
      <c r="O85" s="6"/>
      <c r="P85" s="35"/>
      <c r="Q85" s="35"/>
      <c r="R85" s="35"/>
      <c r="S85" s="4"/>
      <c r="U85" s="35"/>
    </row>
    <row r="86" spans="1:24" s="5" customFormat="1" ht="22" customHeight="1">
      <c r="A86" s="152"/>
      <c r="B86" s="54" t="s">
        <v>85</v>
      </c>
      <c r="C86" s="71">
        <f>C83*C85</f>
        <v>1409.1190000000001</v>
      </c>
      <c r="D86" s="71">
        <f t="shared" ref="D86:N86" si="108">D83*D85</f>
        <v>2454.3360000000002</v>
      </c>
      <c r="E86" s="71">
        <f t="shared" si="108"/>
        <v>2491.4700000000003</v>
      </c>
      <c r="F86" s="71">
        <f t="shared" si="108"/>
        <v>2577.6</v>
      </c>
      <c r="G86" s="71">
        <f t="shared" si="108"/>
        <v>2662.5060000000003</v>
      </c>
      <c r="H86" s="71">
        <f t="shared" si="108"/>
        <v>2743.261</v>
      </c>
      <c r="I86" s="71">
        <f t="shared" si="108"/>
        <v>2696.5440800000001</v>
      </c>
      <c r="J86" s="71">
        <f t="shared" si="108"/>
        <v>2672.8107982000001</v>
      </c>
      <c r="K86" s="71">
        <f t="shared" si="108"/>
        <v>2752.9951221460001</v>
      </c>
      <c r="L86" s="71">
        <f t="shared" si="108"/>
        <v>2835.58497581038</v>
      </c>
      <c r="M86" s="71">
        <f t="shared" si="108"/>
        <v>2920.6525250846917</v>
      </c>
      <c r="N86" s="71">
        <f t="shared" si="108"/>
        <v>3008.2721008372323</v>
      </c>
      <c r="O86" s="6"/>
      <c r="P86" s="35"/>
      <c r="Q86" s="35"/>
      <c r="R86" s="35"/>
      <c r="U86" s="35"/>
    </row>
    <row r="87" spans="1:24" s="5" customFormat="1" ht="22" customHeight="1">
      <c r="A87" s="152"/>
      <c r="B87" s="54"/>
      <c r="C87" s="64"/>
      <c r="D87" s="64"/>
      <c r="E87" s="64"/>
      <c r="F87" s="64"/>
      <c r="G87" s="64"/>
      <c r="H87" s="64"/>
      <c r="I87" s="75"/>
      <c r="J87" s="75"/>
      <c r="K87" s="71"/>
      <c r="L87" s="71"/>
      <c r="M87" s="71"/>
      <c r="N87" s="71"/>
      <c r="O87" s="6"/>
      <c r="P87" s="6"/>
      <c r="Q87" s="6"/>
      <c r="R87" s="6"/>
      <c r="S87" s="4"/>
      <c r="U87" s="35"/>
      <c r="V87" s="4"/>
    </row>
    <row r="88" spans="1:24" s="5" customFormat="1" ht="22" customHeight="1">
      <c r="A88" s="152" t="s">
        <v>77</v>
      </c>
      <c r="B88" s="66" t="s">
        <v>86</v>
      </c>
      <c r="C88" s="66">
        <f>C78+C83</f>
        <v>16949</v>
      </c>
      <c r="D88" s="66">
        <f>D78+D83</f>
        <v>29546</v>
      </c>
      <c r="E88" s="66">
        <f t="shared" ref="E88" si="109">E78+E83</f>
        <v>30695</v>
      </c>
      <c r="F88" s="66">
        <f>F78+F83</f>
        <v>30736</v>
      </c>
      <c r="G88" s="66">
        <f t="shared" ref="G88:H88" si="110">G78+G83</f>
        <v>30803</v>
      </c>
      <c r="H88" s="66">
        <f t="shared" si="110"/>
        <v>31162</v>
      </c>
      <c r="I88" s="66">
        <f>I78+I83</f>
        <v>31785.24</v>
      </c>
      <c r="J88" s="66">
        <f>J78+J83</f>
        <v>32738.797200000001</v>
      </c>
      <c r="K88" s="66">
        <f t="shared" ref="K88:N88" si="111">K78+K83</f>
        <v>33720.961116000006</v>
      </c>
      <c r="L88" s="66">
        <f t="shared" si="111"/>
        <v>34732.589949480003</v>
      </c>
      <c r="M88" s="66">
        <f t="shared" si="111"/>
        <v>35774.567647964403</v>
      </c>
      <c r="N88" s="66">
        <f t="shared" si="111"/>
        <v>36847.804677403336</v>
      </c>
      <c r="O88" s="6"/>
      <c r="P88" s="6"/>
      <c r="Q88" s="6"/>
      <c r="R88" s="6"/>
      <c r="S88" s="4"/>
      <c r="U88" s="35"/>
    </row>
    <row r="89" spans="1:24" s="5" customFormat="1" ht="22" customHeight="1">
      <c r="A89" s="136"/>
      <c r="B89" s="54" t="s">
        <v>87</v>
      </c>
      <c r="C89" s="66">
        <f>C81+C86</f>
        <v>1895.9410000000003</v>
      </c>
      <c r="D89" s="66">
        <f t="shared" ref="D89:G89" si="112">D81+D86</f>
        <v>3242.3760000000002</v>
      </c>
      <c r="E89" s="66">
        <f t="shared" si="112"/>
        <v>3424.491</v>
      </c>
      <c r="F89" s="66">
        <f t="shared" si="112"/>
        <v>3391.66</v>
      </c>
      <c r="G89" s="66">
        <f t="shared" si="112"/>
        <v>3469.76</v>
      </c>
      <c r="H89" s="66">
        <f>H81+H86</f>
        <v>3561.4650000000001</v>
      </c>
      <c r="I89" s="66">
        <f>I81+I86</f>
        <v>3531.7928400000001</v>
      </c>
      <c r="J89" s="66">
        <f t="shared" ref="J89:N89" si="113">J81+J86</f>
        <v>3709.6619461999999</v>
      </c>
      <c r="K89" s="66">
        <f t="shared" si="113"/>
        <v>3820.9518045860004</v>
      </c>
      <c r="L89" s="66">
        <f t="shared" si="113"/>
        <v>3935.58035872358</v>
      </c>
      <c r="M89" s="66">
        <f t="shared" si="113"/>
        <v>4053.6477694852879</v>
      </c>
      <c r="N89" s="66">
        <f t="shared" si="113"/>
        <v>4175.2572025698464</v>
      </c>
      <c r="O89" s="6"/>
      <c r="P89" s="35"/>
      <c r="Q89" s="35"/>
      <c r="R89" s="35"/>
      <c r="S89" s="12"/>
      <c r="U89" s="35"/>
      <c r="V89" s="4"/>
    </row>
    <row r="90" spans="1:24" s="5" customFormat="1" ht="22" customHeight="1">
      <c r="A90" s="153"/>
      <c r="B90" s="64" t="s">
        <v>107</v>
      </c>
      <c r="C90" s="71">
        <f>C89-C93+173</f>
        <v>499.74800000000027</v>
      </c>
      <c r="D90" s="76">
        <f>D89-D93</f>
        <v>520.86100000000033</v>
      </c>
      <c r="E90" s="76">
        <f>E89-E93</f>
        <v>523.41899999999987</v>
      </c>
      <c r="F90" s="76">
        <f>F89-F93</f>
        <v>679.45499999999993</v>
      </c>
      <c r="G90" s="76">
        <f>G89-G93</f>
        <v>731.98200000000043</v>
      </c>
      <c r="H90" s="76">
        <f>H89-H93</f>
        <v>788.73100000000022</v>
      </c>
      <c r="I90" s="71">
        <f>H90*(1+I91)</f>
        <v>804.50562000000025</v>
      </c>
      <c r="J90" s="71">
        <f>I90*(1+J91)</f>
        <v>828.64078860000029</v>
      </c>
      <c r="K90" s="71">
        <f>J90*(1+K91)</f>
        <v>853.50001225800031</v>
      </c>
      <c r="L90" s="71">
        <f t="shared" ref="L90" si="114">K90*(1+L91)</f>
        <v>879.1050126257403</v>
      </c>
      <c r="M90" s="71">
        <f t="shared" ref="M90" si="115">L90*(1+M91)</f>
        <v>905.47816300451257</v>
      </c>
      <c r="N90" s="71">
        <f t="shared" ref="N90" si="116">M90*(1+N91)</f>
        <v>932.64250789464802</v>
      </c>
      <c r="O90" s="6"/>
      <c r="P90" s="35"/>
      <c r="Q90" s="35"/>
      <c r="R90" s="35"/>
      <c r="U90" s="35"/>
      <c r="V90" s="12"/>
    </row>
    <row r="91" spans="1:24" s="4" customFormat="1" ht="22" customHeight="1">
      <c r="A91" s="153"/>
      <c r="B91" s="64" t="s">
        <v>92</v>
      </c>
      <c r="C91" s="79">
        <f>(C90-751)/751</f>
        <v>-0.33455659121171732</v>
      </c>
      <c r="D91" s="79">
        <f>(D90-C90)/C90</f>
        <v>4.2247292635488376E-2</v>
      </c>
      <c r="E91" s="79">
        <f>(E90-D90)/D90</f>
        <v>4.9110991224137271E-3</v>
      </c>
      <c r="F91" s="79">
        <f>(F90-E90)/E90</f>
        <v>0.29810916302235896</v>
      </c>
      <c r="G91" s="79">
        <f>(G90-F90)/F90</f>
        <v>7.7307547961234374E-2</v>
      </c>
      <c r="H91" s="79">
        <f>(H90-G90)/G90</f>
        <v>7.7527862707006137E-2</v>
      </c>
      <c r="I91" s="156">
        <f>I75</f>
        <v>0.02</v>
      </c>
      <c r="J91" s="79">
        <f t="shared" ref="J91:N91" si="117">J75</f>
        <v>0.03</v>
      </c>
      <c r="K91" s="79">
        <f t="shared" si="117"/>
        <v>0.03</v>
      </c>
      <c r="L91" s="79">
        <f t="shared" si="117"/>
        <v>0.03</v>
      </c>
      <c r="M91" s="79">
        <f t="shared" si="117"/>
        <v>0.03</v>
      </c>
      <c r="N91" s="79">
        <f t="shared" si="117"/>
        <v>0.03</v>
      </c>
      <c r="O91" s="6"/>
      <c r="P91" s="35"/>
      <c r="Q91" s="35"/>
      <c r="R91" s="35"/>
      <c r="S91" s="5"/>
      <c r="U91" s="6"/>
      <c r="V91" s="5"/>
    </row>
    <row r="92" spans="1:24" s="6" customFormat="1" ht="22" customHeight="1">
      <c r="A92" s="64"/>
      <c r="B92" s="66" t="s">
        <v>78</v>
      </c>
      <c r="C92" s="64">
        <f>C90/C89</f>
        <v>0.26358837115711947</v>
      </c>
      <c r="D92" s="64">
        <f t="shared" ref="D92:G92" si="118">D90/D89</f>
        <v>0.16064176394101126</v>
      </c>
      <c r="E92" s="64">
        <f t="shared" si="118"/>
        <v>0.15284578058461823</v>
      </c>
      <c r="F92" s="64">
        <f t="shared" si="118"/>
        <v>0.20033110630192882</v>
      </c>
      <c r="G92" s="64">
        <f t="shared" si="118"/>
        <v>0.21096041224753309</v>
      </c>
      <c r="H92" s="64">
        <f>H90/H89</f>
        <v>0.22146251612749254</v>
      </c>
      <c r="I92" s="64">
        <f>I90/I89</f>
        <v>0.22778958349097289</v>
      </c>
      <c r="J92" s="64">
        <f>J90/J89</f>
        <v>0.22337366601526057</v>
      </c>
      <c r="K92" s="64">
        <f t="shared" ref="K92:N92" si="119">K90/K89</f>
        <v>0.22337366601526054</v>
      </c>
      <c r="L92" s="64">
        <f t="shared" si="119"/>
        <v>0.22337366601526057</v>
      </c>
      <c r="M92" s="64">
        <f t="shared" si="119"/>
        <v>0.22337366601526054</v>
      </c>
      <c r="N92" s="64">
        <f t="shared" si="119"/>
        <v>0.22337366601526057</v>
      </c>
      <c r="P92" s="35"/>
      <c r="Q92" s="35"/>
      <c r="R92" s="35"/>
      <c r="S92" s="5"/>
      <c r="U92" s="4"/>
      <c r="V92" s="5"/>
    </row>
    <row r="93" spans="1:24" s="1" customFormat="1" ht="22" customHeight="1">
      <c r="A93" s="136"/>
      <c r="B93" s="66" t="s">
        <v>88</v>
      </c>
      <c r="C93" s="71">
        <v>1569.193</v>
      </c>
      <c r="D93" s="71">
        <v>2721.5149999999999</v>
      </c>
      <c r="E93" s="71">
        <v>2901.0720000000001</v>
      </c>
      <c r="F93" s="71">
        <v>2712.2049999999999</v>
      </c>
      <c r="G93" s="71">
        <v>2737.7779999999998</v>
      </c>
      <c r="H93" s="71">
        <v>2772.7339999999999</v>
      </c>
      <c r="I93" s="71">
        <f>I89-I90</f>
        <v>2727.2872199999997</v>
      </c>
      <c r="J93" s="71">
        <f t="shared" ref="J93:N93" si="120">J89-J90</f>
        <v>2881.0211575999997</v>
      </c>
      <c r="K93" s="71">
        <f t="shared" si="120"/>
        <v>2967.451792328</v>
      </c>
      <c r="L93" s="71">
        <f t="shared" si="120"/>
        <v>3056.47534609784</v>
      </c>
      <c r="M93" s="71">
        <f t="shared" si="120"/>
        <v>3148.1696064807752</v>
      </c>
      <c r="N93" s="71">
        <f t="shared" si="120"/>
        <v>3242.6146946751983</v>
      </c>
      <c r="O93" s="6"/>
      <c r="P93" s="35"/>
      <c r="Q93" s="35"/>
      <c r="R93" s="35"/>
      <c r="S93" s="5"/>
      <c r="U93" s="5"/>
      <c r="V93" s="5"/>
    </row>
    <row r="94" spans="1:24" s="1" customFormat="1" ht="22" customHeight="1">
      <c r="A94" s="136"/>
      <c r="B94" s="64" t="s">
        <v>79</v>
      </c>
      <c r="C94" s="64">
        <f>(C93-1296)/1296</f>
        <v>0.21079706790123456</v>
      </c>
      <c r="D94" s="64">
        <f>(D93-C93)/C93</f>
        <v>0.73434051770559761</v>
      </c>
      <c r="E94" s="64">
        <f t="shared" ref="E94" si="121">(E93-D93)/D93</f>
        <v>6.5976854803298984E-2</v>
      </c>
      <c r="F94" s="64">
        <f t="shared" ref="F94" si="122">(F93-E93)/E93</f>
        <v>-6.5102486253357447E-2</v>
      </c>
      <c r="G94" s="64">
        <f t="shared" ref="G94" si="123">(G93-F93)/F93</f>
        <v>9.4288595441715754E-3</v>
      </c>
      <c r="H94" s="64">
        <f t="shared" ref="H94" si="124">(H93-G93)/G93</f>
        <v>1.2768018444154396E-2</v>
      </c>
      <c r="I94" s="64">
        <f>(I93-H93)/H93</f>
        <v>-1.6390602199850481E-2</v>
      </c>
      <c r="J94" s="64">
        <f>(J93-I93)/I93</f>
        <v>5.6368810909472163E-2</v>
      </c>
      <c r="K94" s="64">
        <f>(K93-J93)/J93</f>
        <v>3.0000000000000113E-2</v>
      </c>
      <c r="L94" s="64">
        <f t="shared" ref="L94" si="125">(L93-K93)/K93</f>
        <v>2.9999999999999988E-2</v>
      </c>
      <c r="M94" s="64">
        <f t="shared" ref="M94" si="126">(M93-L93)/L93</f>
        <v>3.0000000000000009E-2</v>
      </c>
      <c r="N94" s="64">
        <f t="shared" ref="N94" si="127">(N93-M93)/M93</f>
        <v>2.9999999999999943E-2</v>
      </c>
      <c r="O94" s="6"/>
      <c r="P94" s="35"/>
      <c r="Q94" s="35"/>
      <c r="R94" s="35"/>
      <c r="S94" s="5"/>
      <c r="U94" s="5"/>
      <c r="V94" s="5"/>
    </row>
    <row r="95" spans="1:24" s="1" customFormat="1" ht="22" customHeight="1">
      <c r="A95" s="65"/>
      <c r="B95" s="65"/>
      <c r="C95" s="65"/>
      <c r="D95" s="65"/>
      <c r="E95" s="65"/>
      <c r="F95" s="65"/>
      <c r="G95" s="65"/>
      <c r="H95" s="65"/>
      <c r="I95" s="64"/>
      <c r="J95" s="65"/>
      <c r="K95" s="65"/>
      <c r="L95" s="65"/>
      <c r="M95" s="65"/>
      <c r="N95" s="65"/>
      <c r="O95" s="6"/>
      <c r="P95" s="35"/>
      <c r="Q95" s="35"/>
      <c r="R95" s="35"/>
      <c r="S95" s="5"/>
      <c r="U95" s="5"/>
      <c r="V95" s="5"/>
    </row>
    <row r="96" spans="1:24" s="1" customFormat="1" ht="22" customHeight="1">
      <c r="A96" s="136" t="s">
        <v>81</v>
      </c>
      <c r="B96" s="54" t="s">
        <v>105</v>
      </c>
      <c r="C96" s="71">
        <f>C90</f>
        <v>499.74800000000027</v>
      </c>
      <c r="D96" s="71">
        <f t="shared" ref="D96:N96" si="128">D90</f>
        <v>520.86100000000033</v>
      </c>
      <c r="E96" s="71">
        <f>E90</f>
        <v>523.41899999999987</v>
      </c>
      <c r="F96" s="71">
        <f t="shared" si="128"/>
        <v>679.45499999999993</v>
      </c>
      <c r="G96" s="71">
        <f t="shared" si="128"/>
        <v>731.98200000000043</v>
      </c>
      <c r="H96" s="71">
        <f t="shared" si="128"/>
        <v>788.73100000000022</v>
      </c>
      <c r="I96" s="71">
        <f t="shared" si="128"/>
        <v>804.50562000000025</v>
      </c>
      <c r="J96" s="71">
        <f t="shared" si="128"/>
        <v>828.64078860000029</v>
      </c>
      <c r="K96" s="71">
        <f t="shared" si="128"/>
        <v>853.50001225800031</v>
      </c>
      <c r="L96" s="71">
        <f t="shared" si="128"/>
        <v>879.1050126257403</v>
      </c>
      <c r="M96" s="71">
        <f t="shared" si="128"/>
        <v>905.47816300451257</v>
      </c>
      <c r="N96" s="71">
        <f t="shared" si="128"/>
        <v>932.64250789464802</v>
      </c>
      <c r="O96" s="6"/>
      <c r="P96" s="35"/>
      <c r="Q96" s="35"/>
      <c r="R96" s="35"/>
      <c r="S96" s="5"/>
      <c r="U96" s="5"/>
      <c r="V96" s="5"/>
    </row>
    <row r="97" spans="1:22" s="1" customFormat="1" ht="22" customHeight="1">
      <c r="A97" s="54"/>
      <c r="B97" s="54" t="s">
        <v>145</v>
      </c>
      <c r="C97" s="72">
        <f t="shared" ref="C97:N97" si="129">C112/C125</f>
        <v>6.6565133381897151E-2</v>
      </c>
      <c r="D97" s="72">
        <f>D112/D125</f>
        <v>6.6805165919260806E-2</v>
      </c>
      <c r="E97" s="72">
        <f t="shared" si="129"/>
        <v>7.742303679469123E-2</v>
      </c>
      <c r="F97" s="72">
        <f t="shared" si="129"/>
        <v>8.0674406432809889E-2</v>
      </c>
      <c r="G97" s="72">
        <f t="shared" si="129"/>
        <v>8.1799908717578751E-2</v>
      </c>
      <c r="H97" s="72">
        <f t="shared" si="129"/>
        <v>8.1636218223576765E-2</v>
      </c>
      <c r="I97" s="72">
        <f t="shared" si="129"/>
        <v>8.3834638659991675E-2</v>
      </c>
      <c r="J97" s="72">
        <f t="shared" si="129"/>
        <v>8.2301011484034028E-2</v>
      </c>
      <c r="K97" s="72">
        <f t="shared" si="129"/>
        <v>8.2301011484034028E-2</v>
      </c>
      <c r="L97" s="72">
        <f t="shared" si="129"/>
        <v>8.2301011484034028E-2</v>
      </c>
      <c r="M97" s="72">
        <f t="shared" si="129"/>
        <v>8.2301011484034015E-2</v>
      </c>
      <c r="N97" s="72">
        <f t="shared" si="129"/>
        <v>8.2301011484034028E-2</v>
      </c>
      <c r="O97" s="6"/>
      <c r="P97" s="35"/>
      <c r="Q97" s="35"/>
      <c r="R97" s="35"/>
      <c r="S97" s="5"/>
      <c r="U97" s="5"/>
      <c r="V97" s="5"/>
    </row>
    <row r="98" spans="1:22" s="4" customFormat="1" ht="22" customHeight="1">
      <c r="A98" s="54"/>
      <c r="B98" s="54" t="s">
        <v>127</v>
      </c>
      <c r="C98" s="71">
        <f>C96*C97</f>
        <v>33.265792277336352</v>
      </c>
      <c r="D98" s="71">
        <f t="shared" ref="D98:N98" si="130">D96*D97</f>
        <v>34.796205525872125</v>
      </c>
      <c r="E98" s="71">
        <f t="shared" si="130"/>
        <v>40.524688496040476</v>
      </c>
      <c r="F98" s="71">
        <f t="shared" si="130"/>
        <v>54.814628822804835</v>
      </c>
      <c r="G98" s="71">
        <f t="shared" si="130"/>
        <v>59.876060782910763</v>
      </c>
      <c r="H98" s="71">
        <f t="shared" si="130"/>
        <v>64.389016035699939</v>
      </c>
      <c r="I98" s="71">
        <f t="shared" si="130"/>
        <v>67.445437952632588</v>
      </c>
      <c r="J98" s="71">
        <f t="shared" si="130"/>
        <v>68.197975058707641</v>
      </c>
      <c r="K98" s="71">
        <f t="shared" si="130"/>
        <v>70.243914310468867</v>
      </c>
      <c r="L98" s="71">
        <f t="shared" si="130"/>
        <v>72.351231739782932</v>
      </c>
      <c r="M98" s="71">
        <f t="shared" si="130"/>
        <v>74.521768691976419</v>
      </c>
      <c r="N98" s="71">
        <f t="shared" si="130"/>
        <v>76.757421752735723</v>
      </c>
      <c r="O98" s="6"/>
      <c r="P98" s="35"/>
      <c r="Q98" s="35"/>
      <c r="R98" s="35"/>
      <c r="S98" s="5"/>
      <c r="U98" s="5"/>
    </row>
    <row r="99" spans="1:22" s="4" customFormat="1" ht="22" customHeight="1">
      <c r="A99" s="54"/>
      <c r="B99" s="54" t="s">
        <v>146</v>
      </c>
      <c r="C99" s="72">
        <f t="shared" ref="C99:N99" si="131">C117/C125</f>
        <v>9.3613112434048698E-2</v>
      </c>
      <c r="D99" s="72">
        <f t="shared" si="131"/>
        <v>6.6807586177060618E-2</v>
      </c>
      <c r="E99" s="72">
        <f t="shared" si="131"/>
        <v>7.742303679469123E-2</v>
      </c>
      <c r="F99" s="72">
        <f t="shared" si="131"/>
        <v>0.11988145957193251</v>
      </c>
      <c r="G99" s="72">
        <f t="shared" si="131"/>
        <v>0.12260471002241205</v>
      </c>
      <c r="H99" s="72">
        <f t="shared" si="131"/>
        <v>0.12235107558107941</v>
      </c>
      <c r="I99" s="72">
        <f t="shared" si="131"/>
        <v>0.12564592572024358</v>
      </c>
      <c r="J99" s="72">
        <f t="shared" si="131"/>
        <v>0.12334742465537432</v>
      </c>
      <c r="K99" s="72">
        <f t="shared" si="131"/>
        <v>0.12334742465537431</v>
      </c>
      <c r="L99" s="72">
        <f t="shared" si="131"/>
        <v>0.12334742465537432</v>
      </c>
      <c r="M99" s="72">
        <f t="shared" si="131"/>
        <v>0.12334742465537432</v>
      </c>
      <c r="N99" s="72">
        <f t="shared" si="131"/>
        <v>0.12334742465537432</v>
      </c>
      <c r="O99" s="6"/>
      <c r="P99" s="35"/>
      <c r="Q99" s="35"/>
      <c r="R99" s="35"/>
      <c r="S99" s="5"/>
      <c r="U99" s="5"/>
    </row>
    <row r="100" spans="1:22" s="5" customFormat="1" ht="22" customHeight="1">
      <c r="A100" s="54"/>
      <c r="B100" s="54" t="s">
        <v>128</v>
      </c>
      <c r="C100" s="71">
        <f>C96*C99</f>
        <v>46.782965712690995</v>
      </c>
      <c r="D100" s="71">
        <f t="shared" ref="D100:N100" si="132">D96*D99</f>
        <v>34.797466143769995</v>
      </c>
      <c r="E100" s="71">
        <f t="shared" si="132"/>
        <v>40.524688496040476</v>
      </c>
      <c r="F100" s="71">
        <f t="shared" si="132"/>
        <v>81.454057113447391</v>
      </c>
      <c r="G100" s="71">
        <f t="shared" si="132"/>
        <v>89.744440851625271</v>
      </c>
      <c r="H100" s="71">
        <f t="shared" si="132"/>
        <v>96.502086194140375</v>
      </c>
      <c r="I100" s="71">
        <f t="shared" si="132"/>
        <v>101.08285337203854</v>
      </c>
      <c r="J100" s="71">
        <f t="shared" si="132"/>
        <v>102.2107072382085</v>
      </c>
      <c r="K100" s="71">
        <f t="shared" si="132"/>
        <v>105.27702845535474</v>
      </c>
      <c r="L100" s="71">
        <f t="shared" si="132"/>
        <v>108.43533930901539</v>
      </c>
      <c r="M100" s="71">
        <f t="shared" si="132"/>
        <v>111.68839948828587</v>
      </c>
      <c r="N100" s="71">
        <f t="shared" si="132"/>
        <v>115.03905147293445</v>
      </c>
      <c r="O100" s="6"/>
      <c r="P100" s="6"/>
      <c r="Q100" s="6"/>
      <c r="R100" s="6"/>
      <c r="S100" s="4"/>
      <c r="V100" s="6"/>
    </row>
    <row r="101" spans="1:22" s="5" customFormat="1" ht="22" customHeight="1">
      <c r="A101" s="54"/>
      <c r="B101" s="54" t="s">
        <v>154</v>
      </c>
      <c r="C101" s="79">
        <f t="shared" ref="C101:N101" si="133">C122/C125</f>
        <v>4.2131568633331826E-2</v>
      </c>
      <c r="D101" s="79">
        <f t="shared" si="133"/>
        <v>4.3041259647374493E-2</v>
      </c>
      <c r="E101" s="79">
        <f t="shared" si="133"/>
        <v>5.4867049314747569E-2</v>
      </c>
      <c r="F101" s="79">
        <f t="shared" si="133"/>
        <v>6.0485915491039044E-2</v>
      </c>
      <c r="G101" s="79">
        <f t="shared" si="133"/>
        <v>5.9697252012057021E-2</v>
      </c>
      <c r="H101" s="79">
        <f t="shared" si="133"/>
        <v>6.099435018064419E-2</v>
      </c>
      <c r="I101" s="79">
        <f t="shared" si="133"/>
        <v>6.2636895963151418E-2</v>
      </c>
      <c r="J101" s="79">
        <f t="shared" si="133"/>
        <v>6.1491049241531738E-2</v>
      </c>
      <c r="K101" s="79">
        <f t="shared" si="133"/>
        <v>6.1491049241531738E-2</v>
      </c>
      <c r="L101" s="79">
        <f t="shared" si="133"/>
        <v>6.1491049241531738E-2</v>
      </c>
      <c r="M101" s="79">
        <f t="shared" si="133"/>
        <v>6.1491049241531731E-2</v>
      </c>
      <c r="N101" s="79">
        <f t="shared" si="133"/>
        <v>6.1491049241531731E-2</v>
      </c>
      <c r="O101" s="6"/>
      <c r="P101" s="6"/>
      <c r="Q101" s="6"/>
      <c r="R101" s="6"/>
      <c r="S101" s="4"/>
      <c r="V101" s="6"/>
    </row>
    <row r="102" spans="1:22" s="5" customFormat="1" ht="22" customHeight="1">
      <c r="A102" s="66"/>
      <c r="B102" s="66" t="s">
        <v>144</v>
      </c>
      <c r="C102" s="71">
        <f>C96*C101</f>
        <v>21.055167161370324</v>
      </c>
      <c r="D102" s="71">
        <f t="shared" ref="D102:N102" si="134">D96*D101</f>
        <v>22.418513541191139</v>
      </c>
      <c r="E102" s="71">
        <f t="shared" si="134"/>
        <v>28.71845608527585</v>
      </c>
      <c r="F102" s="71">
        <f t="shared" si="134"/>
        <v>41.097457709963926</v>
      </c>
      <c r="G102" s="71">
        <f t="shared" si="134"/>
        <v>43.697313922289545</v>
      </c>
      <c r="H102" s="71">
        <f t="shared" si="134"/>
        <v>48.108134812329688</v>
      </c>
      <c r="I102" s="71">
        <f t="shared" si="134"/>
        <v>50.391734821710642</v>
      </c>
      <c r="J102" s="71">
        <f t="shared" si="134"/>
        <v>50.953991535344308</v>
      </c>
      <c r="K102" s="71">
        <f t="shared" si="134"/>
        <v>52.482611281404637</v>
      </c>
      <c r="L102" s="71">
        <f t="shared" si="134"/>
        <v>54.057089619846778</v>
      </c>
      <c r="M102" s="71">
        <f t="shared" si="134"/>
        <v>55.678802308442179</v>
      </c>
      <c r="N102" s="71">
        <f t="shared" si="134"/>
        <v>57.349166377695447</v>
      </c>
      <c r="O102" s="4"/>
      <c r="P102" s="4"/>
      <c r="Q102" s="4"/>
      <c r="R102" s="4"/>
      <c r="S102" s="6"/>
      <c r="U102" s="4"/>
      <c r="V102" s="1"/>
    </row>
    <row r="103" spans="1:22" s="5" customFormat="1" ht="22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S103" s="1"/>
      <c r="V103" s="1"/>
    </row>
    <row r="104" spans="1:22" s="4" customFormat="1" ht="22" customHeight="1">
      <c r="B104" s="64" t="s">
        <v>80</v>
      </c>
      <c r="C104" s="79">
        <f>C89/C88</f>
        <v>0.1118615257537318</v>
      </c>
      <c r="D104" s="79">
        <f t="shared" ref="D104:N104" si="135">D89/D88</f>
        <v>0.10973993095512083</v>
      </c>
      <c r="E104" s="79">
        <f t="shared" si="135"/>
        <v>0.11156510832383124</v>
      </c>
      <c r="F104" s="79">
        <f t="shared" si="135"/>
        <v>0.11034812597605413</v>
      </c>
      <c r="G104" s="79">
        <f t="shared" si="135"/>
        <v>0.11264357367788852</v>
      </c>
      <c r="H104" s="79">
        <f t="shared" si="135"/>
        <v>0.11428871702714845</v>
      </c>
      <c r="I104" s="79">
        <f t="shared" si="135"/>
        <v>0.11111424170464027</v>
      </c>
      <c r="J104" s="79">
        <f t="shared" si="135"/>
        <v>0.11331088077359176</v>
      </c>
      <c r="K104" s="79">
        <f t="shared" si="135"/>
        <v>0.11331088077359176</v>
      </c>
      <c r="L104" s="79">
        <f t="shared" si="135"/>
        <v>0.11331088077359176</v>
      </c>
      <c r="M104" s="79">
        <f t="shared" si="135"/>
        <v>0.11331088077359178</v>
      </c>
      <c r="N104" s="79">
        <f t="shared" si="135"/>
        <v>0.11331088077359176</v>
      </c>
      <c r="O104" s="5"/>
      <c r="P104" s="5"/>
      <c r="Q104" s="5"/>
      <c r="R104" s="5"/>
      <c r="S104" s="1"/>
      <c r="V104" s="1"/>
    </row>
    <row r="105" spans="1:22" s="5" customFormat="1" ht="22" customHeight="1">
      <c r="A105" s="64"/>
      <c r="B105" s="64" t="s">
        <v>74</v>
      </c>
      <c r="C105" s="79">
        <f>C81/C89</f>
        <v>0.25677064845372294</v>
      </c>
      <c r="D105" s="79">
        <f t="shared" ref="D105:N105" si="136">D81/D89</f>
        <v>0.2430439899629161</v>
      </c>
      <c r="E105" s="79">
        <f t="shared" si="136"/>
        <v>0.27245538096026534</v>
      </c>
      <c r="F105" s="79">
        <f t="shared" si="136"/>
        <v>0.24001816219786182</v>
      </c>
      <c r="G105" s="79">
        <f t="shared" si="136"/>
        <v>0.23265413169786955</v>
      </c>
      <c r="H105" s="79">
        <f t="shared" si="136"/>
        <v>0.22973804319289953</v>
      </c>
      <c r="I105" s="79">
        <f t="shared" si="136"/>
        <v>0.23649426731382125</v>
      </c>
      <c r="J105" s="79">
        <f t="shared" si="136"/>
        <v>0.27950017091506157</v>
      </c>
      <c r="K105" s="79">
        <f t="shared" si="136"/>
        <v>0.27950017091506157</v>
      </c>
      <c r="L105" s="79">
        <f t="shared" si="136"/>
        <v>0.27950017091506157</v>
      </c>
      <c r="M105" s="79">
        <f t="shared" si="136"/>
        <v>0.27950017091506163</v>
      </c>
      <c r="N105" s="79">
        <f t="shared" si="136"/>
        <v>0.27950017091506163</v>
      </c>
      <c r="S105" s="1"/>
      <c r="U105" s="12"/>
      <c r="V105" s="1"/>
    </row>
    <row r="106" spans="1:22" s="5" customFormat="1" ht="22" customHeight="1">
      <c r="A106" s="65"/>
      <c r="B106" s="65" t="s">
        <v>75</v>
      </c>
      <c r="C106" s="79">
        <f t="shared" ref="C106:N106" si="137">C86/C89</f>
        <v>0.74322935154627701</v>
      </c>
      <c r="D106" s="79">
        <f t="shared" si="137"/>
        <v>0.7569560100370839</v>
      </c>
      <c r="E106" s="79">
        <f t="shared" si="137"/>
        <v>0.72754461903973477</v>
      </c>
      <c r="F106" s="79">
        <f t="shared" si="137"/>
        <v>0.75998183780213824</v>
      </c>
      <c r="G106" s="79">
        <f t="shared" si="137"/>
        <v>0.76734586830213047</v>
      </c>
      <c r="H106" s="79">
        <f t="shared" si="137"/>
        <v>0.77026195680710041</v>
      </c>
      <c r="I106" s="79">
        <f t="shared" si="137"/>
        <v>0.76350573268617872</v>
      </c>
      <c r="J106" s="79">
        <f t="shared" si="137"/>
        <v>0.72049982908493848</v>
      </c>
      <c r="K106" s="79">
        <f t="shared" si="137"/>
        <v>0.72049982908493837</v>
      </c>
      <c r="L106" s="79">
        <f t="shared" si="137"/>
        <v>0.72049982908493837</v>
      </c>
      <c r="M106" s="79">
        <f t="shared" si="137"/>
        <v>0.72049982908493837</v>
      </c>
      <c r="N106" s="79">
        <f t="shared" si="137"/>
        <v>0.72049982908493837</v>
      </c>
      <c r="S106" s="1"/>
      <c r="V106" s="4"/>
    </row>
    <row r="107" spans="1:22" s="5" customFormat="1" ht="22" customHeight="1">
      <c r="A107" s="54"/>
      <c r="B107" s="54" t="s">
        <v>104</v>
      </c>
      <c r="C107" s="150">
        <f>C93/C89</f>
        <v>0.82765919403610122</v>
      </c>
      <c r="D107" s="150">
        <f t="shared" ref="D107:N107" si="138">D93/D89</f>
        <v>0.83935823605898874</v>
      </c>
      <c r="E107" s="150">
        <f t="shared" si="138"/>
        <v>0.84715421941538172</v>
      </c>
      <c r="F107" s="150">
        <f t="shared" si="138"/>
        <v>0.79966889369807115</v>
      </c>
      <c r="G107" s="150">
        <f t="shared" si="138"/>
        <v>0.78903958775246696</v>
      </c>
      <c r="H107" s="150">
        <f t="shared" si="138"/>
        <v>0.77853748387250743</v>
      </c>
      <c r="I107" s="150">
        <f t="shared" si="138"/>
        <v>0.77221041650902711</v>
      </c>
      <c r="J107" s="150">
        <f t="shared" si="138"/>
        <v>0.77662633398473946</v>
      </c>
      <c r="K107" s="150">
        <f t="shared" si="138"/>
        <v>0.77662633398473946</v>
      </c>
      <c r="L107" s="150">
        <f t="shared" si="138"/>
        <v>0.77662633398473946</v>
      </c>
      <c r="M107" s="150">
        <f t="shared" si="138"/>
        <v>0.77662633398473946</v>
      </c>
      <c r="N107" s="150">
        <f t="shared" si="138"/>
        <v>0.77662633398473935</v>
      </c>
      <c r="S107" s="4"/>
    </row>
    <row r="108" spans="1:22" s="5" customFormat="1" ht="22" customHeight="1">
      <c r="A108" s="54"/>
      <c r="B108" s="54" t="s">
        <v>106</v>
      </c>
      <c r="C108" s="72">
        <f>1-C107</f>
        <v>0.17234080596389878</v>
      </c>
      <c r="D108" s="72">
        <f t="shared" ref="D108:N108" si="139">1-D107</f>
        <v>0.16064176394101126</v>
      </c>
      <c r="E108" s="72">
        <f t="shared" si="139"/>
        <v>0.15284578058461828</v>
      </c>
      <c r="F108" s="72">
        <f t="shared" si="139"/>
        <v>0.20033110630192885</v>
      </c>
      <c r="G108" s="72">
        <f t="shared" si="139"/>
        <v>0.21096041224753304</v>
      </c>
      <c r="H108" s="72">
        <f t="shared" si="139"/>
        <v>0.22146251612749257</v>
      </c>
      <c r="I108" s="72">
        <f t="shared" si="139"/>
        <v>0.22778958349097289</v>
      </c>
      <c r="J108" s="72">
        <f t="shared" si="139"/>
        <v>0.22337366601526054</v>
      </c>
      <c r="K108" s="72">
        <f t="shared" si="139"/>
        <v>0.22337366601526054</v>
      </c>
      <c r="L108" s="72">
        <f t="shared" si="139"/>
        <v>0.22337366601526054</v>
      </c>
      <c r="M108" s="72">
        <f t="shared" si="139"/>
        <v>0.22337366601526054</v>
      </c>
      <c r="N108" s="72">
        <f t="shared" si="139"/>
        <v>0.22337366601526065</v>
      </c>
    </row>
    <row r="109" spans="1:22" s="5" customFormat="1" ht="22" customHeight="1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4"/>
      <c r="P109" s="4"/>
      <c r="Q109" s="4"/>
      <c r="R109" s="4"/>
    </row>
    <row r="110" spans="1:22" s="4" customFormat="1" ht="22" customHeight="1">
      <c r="A110" s="54" t="s">
        <v>95</v>
      </c>
      <c r="B110" s="164"/>
      <c r="C110" s="72"/>
      <c r="D110" s="72"/>
      <c r="E110" s="72"/>
      <c r="F110" s="72"/>
      <c r="G110" s="72"/>
      <c r="H110" s="72"/>
      <c r="I110" s="79"/>
      <c r="J110" s="79"/>
      <c r="K110" s="79"/>
      <c r="L110" s="79"/>
      <c r="M110" s="79"/>
      <c r="N110" s="79"/>
      <c r="O110" s="5"/>
      <c r="P110" s="5"/>
      <c r="Q110" s="5"/>
      <c r="R110" s="5"/>
      <c r="S110" s="5"/>
      <c r="U110" s="5"/>
      <c r="V110" s="5"/>
    </row>
    <row r="111" spans="1:22" s="1" customFormat="1" ht="22" customHeight="1">
      <c r="B111" s="54" t="s">
        <v>134</v>
      </c>
      <c r="C111" s="71">
        <f>C112-C98</f>
        <v>97.679207722663648</v>
      </c>
      <c r="D111" s="71">
        <f>D112-D98</f>
        <v>186.02379447412787</v>
      </c>
      <c r="E111" s="71">
        <f t="shared" ref="E111:N111" si="140">E112-E98</f>
        <v>243.68831150395954</v>
      </c>
      <c r="F111" s="71">
        <f t="shared" si="140"/>
        <v>241.2853711771952</v>
      </c>
      <c r="G111" s="71">
        <f t="shared" si="140"/>
        <v>244.44593921708923</v>
      </c>
      <c r="H111" s="71">
        <f t="shared" si="140"/>
        <v>243.56998396430006</v>
      </c>
      <c r="I111" s="71">
        <f t="shared" si="140"/>
        <v>246.67274204736742</v>
      </c>
      <c r="J111" s="71">
        <f t="shared" si="140"/>
        <v>255.34375034129238</v>
      </c>
      <c r="K111" s="71">
        <f t="shared" si="140"/>
        <v>263.00406285153116</v>
      </c>
      <c r="L111" s="71">
        <f t="shared" si="140"/>
        <v>270.89418473707713</v>
      </c>
      <c r="M111" s="71">
        <f t="shared" si="140"/>
        <v>279.0210102791894</v>
      </c>
      <c r="N111" s="71">
        <f t="shared" si="140"/>
        <v>287.39164058756512</v>
      </c>
      <c r="O111" s="4"/>
      <c r="P111" s="4"/>
      <c r="Q111" s="4"/>
      <c r="R111" s="4"/>
      <c r="S111" s="4"/>
      <c r="U111" s="5"/>
      <c r="V111" s="4"/>
    </row>
    <row r="112" spans="1:22" s="1" customFormat="1" ht="22" customHeight="1">
      <c r="A112" s="54"/>
      <c r="B112" s="54" t="s">
        <v>133</v>
      </c>
      <c r="C112" s="71">
        <v>130.94499999999999</v>
      </c>
      <c r="D112" s="71">
        <v>220.82</v>
      </c>
      <c r="E112" s="71">
        <v>284.21300000000002</v>
      </c>
      <c r="F112" s="71">
        <v>296.10000000000002</v>
      </c>
      <c r="G112" s="71">
        <v>304.322</v>
      </c>
      <c r="H112" s="71">
        <v>307.959</v>
      </c>
      <c r="I112" s="77">
        <f t="shared" ref="I112:N112" si="141">H112*(1+I75)</f>
        <v>314.11818</v>
      </c>
      <c r="J112" s="77">
        <f t="shared" si="141"/>
        <v>323.54172540000002</v>
      </c>
      <c r="K112" s="77">
        <f t="shared" si="141"/>
        <v>333.24797716200004</v>
      </c>
      <c r="L112" s="77">
        <f t="shared" si="141"/>
        <v>343.24541647686004</v>
      </c>
      <c r="M112" s="77">
        <f t="shared" si="141"/>
        <v>353.54277897116583</v>
      </c>
      <c r="N112" s="77">
        <f t="shared" si="141"/>
        <v>364.14906234030082</v>
      </c>
      <c r="O112" s="12"/>
      <c r="P112" s="12"/>
      <c r="Q112" s="12"/>
      <c r="R112" s="12"/>
      <c r="S112" s="5"/>
      <c r="U112" s="5"/>
      <c r="V112" s="5"/>
    </row>
    <row r="113" spans="1:22" s="1" customFormat="1" ht="22" customHeight="1">
      <c r="A113" s="54"/>
      <c r="B113" s="66" t="s">
        <v>147</v>
      </c>
      <c r="C113" s="175">
        <f>(C112-316.753)/316.753</f>
        <v>-0.58660217898488731</v>
      </c>
      <c r="D113" s="175">
        <f>(D111-C111)/C111</f>
        <v>0.9044359471290675</v>
      </c>
      <c r="E113" s="175">
        <f t="shared" ref="E113:N113" si="142">(E111-D111)/D111</f>
        <v>0.30998462961603351</v>
      </c>
      <c r="F113" s="175">
        <f t="shared" si="142"/>
        <v>-9.8607122842052832E-3</v>
      </c>
      <c r="G113" s="175">
        <f t="shared" si="142"/>
        <v>1.3098879656375738E-2</v>
      </c>
      <c r="H113" s="175">
        <f t="shared" si="142"/>
        <v>-3.5834313942570513E-3</v>
      </c>
      <c r="I113" s="175">
        <f t="shared" si="142"/>
        <v>1.2738671787744285E-2</v>
      </c>
      <c r="J113" s="175">
        <f>(J111-I111)/I111</f>
        <v>3.515187053890171E-2</v>
      </c>
      <c r="K113" s="175">
        <f>(K111-J111)/J111</f>
        <v>3.0000000000000044E-2</v>
      </c>
      <c r="L113" s="175">
        <f t="shared" si="142"/>
        <v>3.000000000000012E-2</v>
      </c>
      <c r="M113" s="175">
        <f t="shared" si="142"/>
        <v>2.9999999999999846E-2</v>
      </c>
      <c r="N113" s="175">
        <f t="shared" si="142"/>
        <v>3.0000000000000148E-2</v>
      </c>
      <c r="O113" s="5"/>
      <c r="P113" s="5"/>
      <c r="Q113" s="5"/>
      <c r="R113" s="5"/>
      <c r="S113" s="5"/>
      <c r="U113" s="5"/>
    </row>
    <row r="114" spans="1:22" s="4" customFormat="1" ht="22" customHeight="1">
      <c r="A114" s="54"/>
      <c r="B114" s="65"/>
      <c r="C114" s="104"/>
      <c r="D114" s="71"/>
      <c r="E114" s="71"/>
      <c r="F114" s="71"/>
      <c r="G114" s="71"/>
      <c r="H114" s="71"/>
      <c r="I114" s="77"/>
      <c r="J114" s="66"/>
      <c r="K114" s="66"/>
      <c r="L114" s="66"/>
      <c r="M114" s="66"/>
      <c r="N114" s="66"/>
      <c r="O114" s="5"/>
      <c r="P114" s="5"/>
      <c r="Q114" s="5"/>
      <c r="R114" s="5"/>
      <c r="S114" s="5"/>
      <c r="U114" s="6"/>
      <c r="V114" s="5"/>
    </row>
    <row r="115" spans="1:22" s="5" customFormat="1" ht="22" customHeight="1">
      <c r="A115" s="64" t="s">
        <v>103</v>
      </c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71"/>
      <c r="U115" s="1"/>
    </row>
    <row r="116" spans="1:22" s="5" customFormat="1" ht="22" customHeight="1">
      <c r="A116" s="64"/>
      <c r="B116" s="67" t="s">
        <v>137</v>
      </c>
      <c r="C116" s="77">
        <f>C117-C100</f>
        <v>137.37003428730901</v>
      </c>
      <c r="D116" s="77">
        <f t="shared" ref="D116:N116" si="143">D117-D100</f>
        <v>186.03053385623002</v>
      </c>
      <c r="E116" s="77">
        <f t="shared" si="143"/>
        <v>243.68831150395954</v>
      </c>
      <c r="F116" s="77">
        <f t="shared" si="143"/>
        <v>358.54794288655262</v>
      </c>
      <c r="G116" s="77">
        <f t="shared" si="143"/>
        <v>366.38455914837476</v>
      </c>
      <c r="H116" s="77">
        <f t="shared" si="143"/>
        <v>365.04691380585962</v>
      </c>
      <c r="I116" s="77">
        <f t="shared" si="143"/>
        <v>369.69712662796144</v>
      </c>
      <c r="J116" s="77">
        <f t="shared" si="143"/>
        <v>382.69267216179151</v>
      </c>
      <c r="K116" s="77">
        <f t="shared" si="143"/>
        <v>394.17345232664525</v>
      </c>
      <c r="L116" s="77">
        <f t="shared" si="143"/>
        <v>405.99865589644469</v>
      </c>
      <c r="M116" s="77">
        <f t="shared" si="143"/>
        <v>418.17861557333799</v>
      </c>
      <c r="N116" s="77">
        <f t="shared" si="143"/>
        <v>430.72397404053817</v>
      </c>
      <c r="O116" s="71"/>
      <c r="U116" s="1"/>
    </row>
    <row r="117" spans="1:22" s="5" customFormat="1" ht="22" customHeight="1">
      <c r="A117" s="67"/>
      <c r="B117" s="67" t="s">
        <v>109</v>
      </c>
      <c r="C117" s="71">
        <v>184.15299999999999</v>
      </c>
      <c r="D117" s="71">
        <v>220.828</v>
      </c>
      <c r="E117" s="71">
        <v>284.21300000000002</v>
      </c>
      <c r="F117" s="71">
        <v>440.00200000000001</v>
      </c>
      <c r="G117" s="71">
        <v>456.12900000000002</v>
      </c>
      <c r="H117" s="71">
        <v>461.54899999999998</v>
      </c>
      <c r="I117" s="189">
        <f t="shared" ref="I117:N117" si="144">H117*(1+I75)</f>
        <v>470.77997999999997</v>
      </c>
      <c r="J117" s="71">
        <f t="shared" si="144"/>
        <v>484.90337940000001</v>
      </c>
      <c r="K117" s="71">
        <f t="shared" si="144"/>
        <v>499.450480782</v>
      </c>
      <c r="L117" s="71">
        <f t="shared" si="144"/>
        <v>514.43399520546006</v>
      </c>
      <c r="M117" s="71">
        <f t="shared" si="144"/>
        <v>529.86701506162387</v>
      </c>
      <c r="N117" s="71">
        <f t="shared" si="144"/>
        <v>545.7630255134726</v>
      </c>
      <c r="U117" s="1"/>
      <c r="V117" s="4"/>
    </row>
    <row r="118" spans="1:22" s="4" customFormat="1" ht="22" customHeight="1">
      <c r="A118" s="67"/>
      <c r="B118" s="64" t="s">
        <v>143</v>
      </c>
      <c r="C118" s="64">
        <f>(C117-494.243)/494.243</f>
        <v>-0.62740392883662499</v>
      </c>
      <c r="D118" s="64">
        <f>(D116-C116)/C116</f>
        <v>0.35422936174819408</v>
      </c>
      <c r="E118" s="64">
        <f t="shared" ref="E118:N118" si="145">(E116-D116)/D116</f>
        <v>0.30993717242293772</v>
      </c>
      <c r="F118" s="64">
        <f t="shared" si="145"/>
        <v>0.47133828731349225</v>
      </c>
      <c r="G118" s="64">
        <f t="shared" si="145"/>
        <v>2.185653667047174E-2</v>
      </c>
      <c r="H118" s="64">
        <f t="shared" si="145"/>
        <v>-3.6509326310704025E-3</v>
      </c>
      <c r="I118" s="64">
        <f t="shared" si="145"/>
        <v>1.2738671787744278E-2</v>
      </c>
      <c r="J118" s="64">
        <f>(J116-I116)/I116</f>
        <v>3.5151870538901751E-2</v>
      </c>
      <c r="K118" s="64">
        <f>(K116-J116)/J116</f>
        <v>2.9999999999999988E-2</v>
      </c>
      <c r="L118" s="64">
        <f t="shared" si="145"/>
        <v>3.0000000000000214E-2</v>
      </c>
      <c r="M118" s="64">
        <f t="shared" si="145"/>
        <v>2.9999999999999909E-2</v>
      </c>
      <c r="N118" s="64">
        <f t="shared" si="145"/>
        <v>3.0000000000000082E-2</v>
      </c>
      <c r="O118" s="5"/>
      <c r="P118" s="5"/>
      <c r="Q118" s="5"/>
      <c r="R118" s="5"/>
      <c r="U118" s="1"/>
      <c r="V118" s="1"/>
    </row>
    <row r="119" spans="1:22" s="5" customFormat="1" ht="22" customHeight="1">
      <c r="A119" s="67"/>
      <c r="B119" s="64"/>
      <c r="C119" s="181"/>
      <c r="D119" s="64"/>
      <c r="E119" s="64"/>
      <c r="F119" s="99"/>
      <c r="G119" s="99"/>
      <c r="H119" s="99"/>
      <c r="I119" s="67"/>
      <c r="J119" s="67"/>
      <c r="K119" s="67"/>
      <c r="L119" s="174"/>
      <c r="M119" s="66"/>
      <c r="N119" s="66"/>
      <c r="S119" s="1"/>
      <c r="U119" s="1"/>
      <c r="V119" s="1"/>
    </row>
    <row r="120" spans="1:22" s="5" customFormat="1" ht="22" customHeight="1">
      <c r="A120" s="101" t="s">
        <v>110</v>
      </c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2"/>
      <c r="M120" s="62"/>
      <c r="N120" s="89"/>
      <c r="S120" s="1"/>
      <c r="U120" s="4"/>
      <c r="V120" s="1"/>
    </row>
    <row r="121" spans="1:22" s="5" customFormat="1" ht="22" customHeight="1">
      <c r="A121" s="101"/>
      <c r="B121" s="101" t="s">
        <v>149</v>
      </c>
      <c r="C121" s="71">
        <f>C122-C102</f>
        <v>61.824832838629675</v>
      </c>
      <c r="D121" s="71">
        <f t="shared" ref="D121:N121" si="146">D122-D102</f>
        <v>119.85148645880886</v>
      </c>
      <c r="E121" s="71">
        <f t="shared" si="146"/>
        <v>172.69354391472416</v>
      </c>
      <c r="F121" s="71">
        <f t="shared" si="146"/>
        <v>180.90454229003609</v>
      </c>
      <c r="G121" s="71">
        <f t="shared" si="146"/>
        <v>178.39568607771045</v>
      </c>
      <c r="H121" s="71">
        <f t="shared" si="146"/>
        <v>181.98286518767031</v>
      </c>
      <c r="I121" s="71">
        <f t="shared" si="146"/>
        <v>184.30108517828938</v>
      </c>
      <c r="J121" s="71">
        <f t="shared" si="146"/>
        <v>190.77961306465571</v>
      </c>
      <c r="K121" s="71">
        <f t="shared" si="146"/>
        <v>196.50300145659537</v>
      </c>
      <c r="L121" s="71">
        <f t="shared" si="146"/>
        <v>202.39809150029325</v>
      </c>
      <c r="M121" s="71">
        <f t="shared" si="146"/>
        <v>208.47003424530203</v>
      </c>
      <c r="N121" s="71">
        <f t="shared" si="146"/>
        <v>214.7241352726611</v>
      </c>
      <c r="S121" s="1"/>
      <c r="U121" s="4"/>
      <c r="V121" s="1"/>
    </row>
    <row r="122" spans="1:22" s="5" customFormat="1" ht="22" customHeight="1">
      <c r="A122" s="54"/>
      <c r="B122" s="101" t="s">
        <v>150</v>
      </c>
      <c r="C122" s="71">
        <v>82.88</v>
      </c>
      <c r="D122" s="71">
        <v>142.27000000000001</v>
      </c>
      <c r="E122" s="71">
        <v>201.41200000000001</v>
      </c>
      <c r="F122" s="71">
        <v>222.00200000000001</v>
      </c>
      <c r="G122" s="176">
        <v>222.09299999999999</v>
      </c>
      <c r="H122" s="71">
        <v>230.09100000000001</v>
      </c>
      <c r="I122" s="71">
        <f t="shared" ref="I122:N122" si="147">H122*(1+I75)</f>
        <v>234.69282000000001</v>
      </c>
      <c r="J122" s="71">
        <f t="shared" si="147"/>
        <v>241.73360460000001</v>
      </c>
      <c r="K122" s="71">
        <f t="shared" si="147"/>
        <v>248.98561273800001</v>
      </c>
      <c r="L122" s="71">
        <f t="shared" si="147"/>
        <v>256.45518112014003</v>
      </c>
      <c r="M122" s="71">
        <f t="shared" si="147"/>
        <v>264.14883655374422</v>
      </c>
      <c r="N122" s="71">
        <f t="shared" si="147"/>
        <v>272.07330165035654</v>
      </c>
      <c r="O122" s="4"/>
      <c r="P122" s="4"/>
      <c r="Q122" s="4"/>
      <c r="R122" s="4"/>
      <c r="S122" s="1"/>
      <c r="V122" s="4"/>
    </row>
    <row r="123" spans="1:22" s="4" customFormat="1" ht="22" customHeight="1">
      <c r="A123" s="57"/>
      <c r="B123" s="101" t="s">
        <v>148</v>
      </c>
      <c r="C123" s="164">
        <f>(C122-201.008)/201.008</f>
        <v>-0.58767810236408502</v>
      </c>
      <c r="D123" s="164">
        <f>(D121-C121)/C121</f>
        <v>0.9385654753266508</v>
      </c>
      <c r="E123" s="164">
        <f t="shared" ref="E123:N123" si="148">(E121-D121)/D121</f>
        <v>0.44089613752163437</v>
      </c>
      <c r="F123" s="164">
        <f t="shared" si="148"/>
        <v>4.7546643546596684E-2</v>
      </c>
      <c r="G123" s="164">
        <f t="shared" si="148"/>
        <v>-1.386839810966882E-2</v>
      </c>
      <c r="H123" s="164">
        <f t="shared" si="148"/>
        <v>2.0107992456708069E-2</v>
      </c>
      <c r="I123" s="164">
        <f t="shared" si="148"/>
        <v>1.2738671787744411E-2</v>
      </c>
      <c r="J123" s="164">
        <f>(J121-I121)/I121</f>
        <v>3.5151870538901696E-2</v>
      </c>
      <c r="K123" s="164">
        <f>(K121-J121)/J121</f>
        <v>2.9999999999999964E-2</v>
      </c>
      <c r="L123" s="164">
        <f t="shared" si="148"/>
        <v>3.0000000000000082E-2</v>
      </c>
      <c r="M123" s="164">
        <f t="shared" si="148"/>
        <v>2.999999999999993E-2</v>
      </c>
      <c r="N123" s="164">
        <f t="shared" si="148"/>
        <v>3.0000000000000044E-2</v>
      </c>
      <c r="O123" s="6"/>
      <c r="P123" s="6"/>
      <c r="Q123" s="6"/>
      <c r="R123" s="6"/>
      <c r="U123" s="5"/>
      <c r="V123" s="5"/>
    </row>
    <row r="124" spans="1:22" s="1" customFormat="1" ht="22" customHeight="1">
      <c r="A124" s="67"/>
      <c r="B124" s="54"/>
      <c r="C124" s="86"/>
      <c r="D124" s="86"/>
      <c r="E124" s="86"/>
      <c r="F124" s="86"/>
      <c r="G124" s="54"/>
      <c r="H124" s="54"/>
      <c r="I124" s="54"/>
      <c r="J124" s="54"/>
      <c r="K124" s="66"/>
      <c r="L124" s="65"/>
      <c r="M124" s="65"/>
      <c r="N124" s="65"/>
      <c r="S124" s="5"/>
      <c r="U124" s="5"/>
      <c r="V124" s="5"/>
    </row>
    <row r="125" spans="1:22" s="5" customFormat="1" ht="22" customHeight="1">
      <c r="A125" s="67"/>
      <c r="B125" s="54" t="s">
        <v>111</v>
      </c>
      <c r="C125" s="71">
        <f t="shared" ref="C125:N125" si="149">C93+C112+C117+C122</f>
        <v>1967.1709999999998</v>
      </c>
      <c r="D125" s="71">
        <f t="shared" si="149"/>
        <v>3305.433</v>
      </c>
      <c r="E125" s="71">
        <f t="shared" si="149"/>
        <v>3670.9100000000003</v>
      </c>
      <c r="F125" s="71">
        <f t="shared" si="149"/>
        <v>3670.3089999999997</v>
      </c>
      <c r="G125" s="71">
        <f t="shared" si="149"/>
        <v>3720.3219999999997</v>
      </c>
      <c r="H125" s="71">
        <f t="shared" si="149"/>
        <v>3772.3329999999996</v>
      </c>
      <c r="I125" s="71">
        <f t="shared" si="149"/>
        <v>3746.8781999999997</v>
      </c>
      <c r="J125" s="71">
        <f t="shared" si="149"/>
        <v>3931.1998669999998</v>
      </c>
      <c r="K125" s="71">
        <f t="shared" si="149"/>
        <v>4049.1358630099999</v>
      </c>
      <c r="L125" s="71">
        <f t="shared" si="149"/>
        <v>4170.6099389003002</v>
      </c>
      <c r="M125" s="71">
        <f t="shared" si="149"/>
        <v>4295.7282370673092</v>
      </c>
      <c r="N125" s="71">
        <f t="shared" si="149"/>
        <v>4424.6000841793284</v>
      </c>
      <c r="O125" s="1"/>
      <c r="P125" s="1"/>
      <c r="Q125" s="1"/>
      <c r="R125" s="1"/>
      <c r="U125" s="4"/>
      <c r="V125" s="4"/>
    </row>
    <row r="126" spans="1:22" s="5" customFormat="1" ht="22" customHeight="1">
      <c r="A126" s="67"/>
      <c r="B126" s="62" t="s">
        <v>112</v>
      </c>
      <c r="C126" s="72">
        <f t="shared" ref="C126:N126" si="150">C125/C198</f>
        <v>0.41370219292069449</v>
      </c>
      <c r="D126" s="72">
        <f t="shared" si="150"/>
        <v>0.36267031907354241</v>
      </c>
      <c r="E126" s="72">
        <f t="shared" si="150"/>
        <v>0.29434982571816304</v>
      </c>
      <c r="F126" s="72">
        <f t="shared" si="150"/>
        <v>0.22905995204235116</v>
      </c>
      <c r="G126" s="72">
        <f t="shared" si="150"/>
        <v>0.21781568796688597</v>
      </c>
      <c r="H126" s="72">
        <f t="shared" si="150"/>
        <v>0.21813445881703358</v>
      </c>
      <c r="I126" s="72">
        <f t="shared" si="150"/>
        <v>0.21890997443717269</v>
      </c>
      <c r="J126" s="72">
        <f t="shared" si="150"/>
        <v>0.21719599405706233</v>
      </c>
      <c r="K126" s="72">
        <f t="shared" si="150"/>
        <v>0.21531033967403548</v>
      </c>
      <c r="L126" s="72">
        <f t="shared" si="150"/>
        <v>0.2128800089451757</v>
      </c>
      <c r="M126" s="72">
        <f t="shared" si="150"/>
        <v>0.21088554511076096</v>
      </c>
      <c r="N126" s="72">
        <f t="shared" si="150"/>
        <v>0.20883111636403526</v>
      </c>
      <c r="O126" s="1"/>
      <c r="P126" s="1"/>
      <c r="Q126" s="1"/>
      <c r="R126" s="1"/>
      <c r="S126" s="4"/>
    </row>
    <row r="127" spans="1:22" s="1" customFormat="1" ht="22" customHeight="1">
      <c r="A127" s="67"/>
      <c r="B127" s="62" t="s">
        <v>113</v>
      </c>
      <c r="C127" s="72">
        <f t="shared" ref="C127:G127" si="151">C128/C125</f>
        <v>-0.22917722324330841</v>
      </c>
      <c r="D127" s="72">
        <f t="shared" si="151"/>
        <v>0.15077002815428933</v>
      </c>
      <c r="E127" s="72">
        <f t="shared" si="151"/>
        <v>0.10588297627853296</v>
      </c>
      <c r="F127" s="72">
        <f t="shared" si="151"/>
        <v>0.1166660757944218</v>
      </c>
      <c r="G127" s="72">
        <f t="shared" si="151"/>
        <v>0.1265185637840871</v>
      </c>
      <c r="H127" s="72">
        <f>H128/H125</f>
        <v>0.11891185220342254</v>
      </c>
      <c r="I127" s="185">
        <f>AVERAGE(F127:H127)</f>
        <v>0.12069883059397714</v>
      </c>
      <c r="J127" s="72">
        <f>$I$127</f>
        <v>0.12069883059397714</v>
      </c>
      <c r="K127" s="72">
        <f>$I$127</f>
        <v>0.12069883059397714</v>
      </c>
      <c r="L127" s="72">
        <f>$I$127</f>
        <v>0.12069883059397714</v>
      </c>
      <c r="M127" s="72">
        <f>$I$127</f>
        <v>0.12069883059397714</v>
      </c>
      <c r="N127" s="72">
        <f>$I$127</f>
        <v>0.12069883059397714</v>
      </c>
      <c r="S127" s="5"/>
      <c r="U127" s="5"/>
      <c r="V127" s="5"/>
    </row>
    <row r="128" spans="1:22" s="1" customFormat="1" ht="22" customHeight="1">
      <c r="A128" s="70"/>
      <c r="B128" s="62" t="s">
        <v>114</v>
      </c>
      <c r="C128" s="77">
        <f>343.99 -(1210.556*C126)-(710.683*C126)</f>
        <v>-450.83078742476221</v>
      </c>
      <c r="D128" s="77">
        <f>1217.814-(1150.61*D126)-(833.158*D126)</f>
        <v>498.36022647211701</v>
      </c>
      <c r="E128" s="77">
        <f>1294.63-(814.128*E126)-(2263.649*E126)</f>
        <v>388.68687645062948</v>
      </c>
      <c r="F128" s="77">
        <f>1133.196-(814.128*F126)-(2263.649*F126)</f>
        <v>428.20054798294848</v>
      </c>
      <c r="G128" s="77">
        <f>1143.556-(831.097*G126)-(2258.057*G126)</f>
        <v>470.68979625434247</v>
      </c>
      <c r="H128" s="77">
        <f>1163.227-(1017.794*H126)-(2258.405*H126)</f>
        <v>448.5751041580935</v>
      </c>
      <c r="I128" s="77">
        <f>I125*I127</f>
        <v>452.24381711806598</v>
      </c>
      <c r="J128" s="77">
        <f t="shared" ref="J128:N128" si="152">J125*J127</f>
        <v>474.49122677809845</v>
      </c>
      <c r="K128" s="77">
        <f t="shared" si="152"/>
        <v>488.72596358144142</v>
      </c>
      <c r="L128" s="77">
        <f t="shared" si="152"/>
        <v>503.38774248888467</v>
      </c>
      <c r="M128" s="77">
        <f t="shared" si="152"/>
        <v>518.48937476355127</v>
      </c>
      <c r="N128" s="77">
        <f t="shared" si="152"/>
        <v>534.04405600645771</v>
      </c>
      <c r="O128" s="4"/>
      <c r="P128" s="4"/>
      <c r="Q128" s="4"/>
      <c r="R128" s="4"/>
      <c r="S128" s="5"/>
      <c r="U128" s="5"/>
      <c r="V128" s="5"/>
    </row>
    <row r="129" spans="1:26" s="1" customFormat="1" ht="22" customHeight="1">
      <c r="A129" s="65"/>
      <c r="B129" s="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5"/>
      <c r="P129" s="5"/>
      <c r="Q129" s="5"/>
      <c r="R129" s="5"/>
      <c r="S129" s="5"/>
      <c r="U129" s="5"/>
      <c r="V129" s="4"/>
    </row>
    <row r="130" spans="1:26" s="4" customFormat="1" ht="22" customHeight="1">
      <c r="A130" s="70" t="s">
        <v>117</v>
      </c>
      <c r="B130" s="54" t="s">
        <v>118</v>
      </c>
      <c r="C130" s="157" t="s">
        <v>90</v>
      </c>
      <c r="D130" s="157" t="s">
        <v>90</v>
      </c>
      <c r="E130" s="157" t="s">
        <v>90</v>
      </c>
      <c r="F130" s="157" t="s">
        <v>90</v>
      </c>
      <c r="G130" s="157" t="s">
        <v>90</v>
      </c>
      <c r="H130" s="157" t="s">
        <v>90</v>
      </c>
      <c r="I130" s="155">
        <v>0.02</v>
      </c>
      <c r="J130" s="155">
        <v>0.03</v>
      </c>
      <c r="K130" s="79">
        <f>$J$130</f>
        <v>0.03</v>
      </c>
      <c r="L130" s="79">
        <f t="shared" ref="L130:N130" si="153">$J$130</f>
        <v>0.03</v>
      </c>
      <c r="M130" s="79">
        <f t="shared" si="153"/>
        <v>0.03</v>
      </c>
      <c r="N130" s="79">
        <f t="shared" si="153"/>
        <v>0.03</v>
      </c>
      <c r="O130" s="5"/>
      <c r="P130" s="5"/>
      <c r="Q130" s="5"/>
      <c r="R130" s="5"/>
      <c r="U130" s="1"/>
      <c r="V130" s="5"/>
    </row>
    <row r="131" spans="1:26" s="1" customFormat="1" ht="22" customHeight="1">
      <c r="A131" s="67"/>
      <c r="B131" s="64" t="s">
        <v>72</v>
      </c>
      <c r="C131" s="157" t="s">
        <v>90</v>
      </c>
      <c r="D131" s="157" t="s">
        <v>90</v>
      </c>
      <c r="E131" s="157" t="s">
        <v>90</v>
      </c>
      <c r="F131" s="157" t="s">
        <v>90</v>
      </c>
      <c r="G131" s="157" t="s">
        <v>90</v>
      </c>
      <c r="H131" s="157" t="s">
        <v>90</v>
      </c>
      <c r="I131" s="154">
        <v>1.4999999999999999E-2</v>
      </c>
      <c r="J131" s="154">
        <v>0.02</v>
      </c>
      <c r="K131" s="79">
        <f>$J$8</f>
        <v>0.02</v>
      </c>
      <c r="L131" s="79">
        <f t="shared" ref="L131:N131" si="154">$J$8</f>
        <v>0.02</v>
      </c>
      <c r="M131" s="79">
        <f t="shared" si="154"/>
        <v>0.02</v>
      </c>
      <c r="N131" s="79">
        <f t="shared" si="154"/>
        <v>0.02</v>
      </c>
      <c r="S131" s="5"/>
      <c r="T131" s="5"/>
      <c r="U131" s="5"/>
      <c r="V131" s="5"/>
      <c r="Z131" s="5"/>
    </row>
    <row r="132" spans="1:26" s="1" customFormat="1" ht="22" customHeight="1">
      <c r="A132" s="67"/>
      <c r="B132" s="64" t="s">
        <v>93</v>
      </c>
      <c r="C132" s="157" t="s">
        <v>90</v>
      </c>
      <c r="D132" s="157" t="s">
        <v>90</v>
      </c>
      <c r="E132" s="157" t="s">
        <v>90</v>
      </c>
      <c r="F132" s="157" t="s">
        <v>90</v>
      </c>
      <c r="G132" s="157" t="s">
        <v>90</v>
      </c>
      <c r="H132" s="157" t="s">
        <v>90</v>
      </c>
      <c r="I132" s="64">
        <v>0</v>
      </c>
      <c r="J132" s="64">
        <v>0</v>
      </c>
      <c r="K132" s="64">
        <v>0</v>
      </c>
      <c r="L132" s="79">
        <v>0</v>
      </c>
      <c r="M132" s="64">
        <v>0</v>
      </c>
      <c r="N132" s="64">
        <v>0</v>
      </c>
      <c r="O132" s="5"/>
      <c r="P132" s="5"/>
      <c r="Q132" s="5"/>
      <c r="R132" s="5"/>
      <c r="S132" s="4"/>
      <c r="T132" s="4"/>
      <c r="U132" s="4"/>
      <c r="V132" s="4"/>
      <c r="W132" s="5"/>
    </row>
    <row r="133" spans="1:26" s="1" customFormat="1" ht="22" customHeight="1">
      <c r="A133" s="66"/>
      <c r="B133" s="64" t="s">
        <v>91</v>
      </c>
      <c r="C133" s="157" t="s">
        <v>90</v>
      </c>
      <c r="D133" s="157" t="s">
        <v>90</v>
      </c>
      <c r="E133" s="157" t="s">
        <v>90</v>
      </c>
      <c r="F133" s="157" t="s">
        <v>90</v>
      </c>
      <c r="G133" s="157" t="s">
        <v>90</v>
      </c>
      <c r="H133" s="157" t="s">
        <v>90</v>
      </c>
      <c r="I133" s="158">
        <f>SUM(I130:I132)</f>
        <v>3.5000000000000003E-2</v>
      </c>
      <c r="J133" s="158">
        <f>SUM(J130:J132)</f>
        <v>0.05</v>
      </c>
      <c r="K133" s="158">
        <f>SUM(K130:K132)</f>
        <v>0.05</v>
      </c>
      <c r="L133" s="158">
        <f t="shared" ref="L133:N133" si="155">SUM(L130:L132)</f>
        <v>0.05</v>
      </c>
      <c r="M133" s="158">
        <f t="shared" si="155"/>
        <v>0.05</v>
      </c>
      <c r="N133" s="158">
        <f t="shared" si="155"/>
        <v>0.05</v>
      </c>
      <c r="O133" s="5"/>
      <c r="P133" s="5"/>
      <c r="Q133" s="5"/>
      <c r="R133" s="5"/>
      <c r="S133" s="5"/>
      <c r="T133" s="5"/>
      <c r="U133" s="5"/>
      <c r="V133" s="5"/>
      <c r="W133" s="5"/>
      <c r="X133" s="4"/>
      <c r="Y133" s="4"/>
    </row>
    <row r="134" spans="1:26" s="10" customFormat="1" ht="22" customHeight="1">
      <c r="A134" s="65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1"/>
      <c r="P134" s="1"/>
      <c r="Q134" s="1"/>
      <c r="R134" s="1"/>
      <c r="S134" s="5"/>
      <c r="T134" s="5"/>
      <c r="U134" s="5"/>
      <c r="V134" s="5"/>
      <c r="W134" s="1"/>
      <c r="X134" s="5"/>
      <c r="Y134" s="5"/>
      <c r="Z134" s="1"/>
    </row>
    <row r="135" spans="1:26" s="10" customFormat="1" ht="22" customHeight="1">
      <c r="A135" s="54" t="s">
        <v>94</v>
      </c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1"/>
      <c r="P135" s="1"/>
      <c r="Q135" s="1"/>
      <c r="R135" s="1"/>
      <c r="S135" s="5"/>
      <c r="T135" s="5"/>
      <c r="U135" s="5"/>
      <c r="V135" s="5"/>
      <c r="W135" s="1"/>
      <c r="X135" s="5"/>
      <c r="Y135" s="5"/>
      <c r="Z135" s="1"/>
    </row>
    <row r="136" spans="1:26" s="2" customFormat="1" ht="22" customHeight="1">
      <c r="A136" s="152" t="s">
        <v>70</v>
      </c>
      <c r="B136" s="54" t="s">
        <v>82</v>
      </c>
      <c r="C136" s="71">
        <v>752.06700000000001</v>
      </c>
      <c r="D136" s="176">
        <v>4509</v>
      </c>
      <c r="E136" s="176">
        <v>2512</v>
      </c>
      <c r="F136" s="176">
        <v>12115</v>
      </c>
      <c r="G136" s="176">
        <v>14681</v>
      </c>
      <c r="H136" s="71">
        <v>15836</v>
      </c>
      <c r="I136" s="83">
        <f>H136*(1+I133)</f>
        <v>16390.259999999998</v>
      </c>
      <c r="J136" s="83">
        <f>I136*(1+J133)</f>
        <v>17209.772999999997</v>
      </c>
      <c r="K136" s="83">
        <f>J136*(1+K133)</f>
        <v>18070.261649999997</v>
      </c>
      <c r="L136" s="83">
        <f t="shared" ref="L136:N136" si="156">K136*(1+L133)</f>
        <v>18973.774732499998</v>
      </c>
      <c r="M136" s="83">
        <f t="shared" si="156"/>
        <v>19922.463469124999</v>
      </c>
      <c r="N136" s="83">
        <f t="shared" si="156"/>
        <v>20918.586642581249</v>
      </c>
      <c r="O136" s="1"/>
      <c r="P136" s="1"/>
      <c r="Q136" s="1"/>
      <c r="R136" s="1"/>
      <c r="S136" s="5"/>
      <c r="T136" s="5"/>
      <c r="U136" s="5"/>
      <c r="V136" s="5"/>
      <c r="W136" s="1"/>
      <c r="X136" s="4"/>
      <c r="Y136" s="4"/>
      <c r="Z136" s="4"/>
    </row>
    <row r="137" spans="1:26" s="2" customFormat="1" ht="22" customHeight="1">
      <c r="A137" s="136"/>
      <c r="B137" s="64" t="s">
        <v>67</v>
      </c>
      <c r="C137" s="72">
        <f>(C136-4226)/4226</f>
        <v>-0.82203809749171797</v>
      </c>
      <c r="D137" s="72">
        <f>(D136-C136)/C136</f>
        <v>4.9954764668573413</v>
      </c>
      <c r="E137" s="72">
        <f t="shared" ref="E137" si="157">(E136-D136)/D136</f>
        <v>-0.44289199379019739</v>
      </c>
      <c r="F137" s="72">
        <f t="shared" ref="F137" si="158">(F136-E136)/E136</f>
        <v>3.8228503184713376</v>
      </c>
      <c r="G137" s="72">
        <f t="shared" ref="G137" si="159">(G136-F136)/F136</f>
        <v>0.21180354931902601</v>
      </c>
      <c r="H137" s="72">
        <f t="shared" ref="H137" si="160">(H136-G136)/G136</f>
        <v>7.8673114910428443E-2</v>
      </c>
      <c r="I137" s="151">
        <f t="shared" ref="I137" si="161">(I136-H136)/H136</f>
        <v>3.4999999999999899E-2</v>
      </c>
      <c r="J137" s="151">
        <f>(J136-I136)/I136</f>
        <v>4.9999999999999947E-2</v>
      </c>
      <c r="K137" s="151">
        <f>(K136-J136)/J136</f>
        <v>4.9999999999999968E-2</v>
      </c>
      <c r="L137" s="151">
        <f t="shared" ref="L137" si="162">(L136-K136)/K136</f>
        <v>5.0000000000000093E-2</v>
      </c>
      <c r="M137" s="151">
        <f t="shared" ref="M137" si="163">(M136-L136)/L136</f>
        <v>5.0000000000000065E-2</v>
      </c>
      <c r="N137" s="151">
        <f t="shared" ref="N137" si="164">(N136-M136)/M136</f>
        <v>4.9999999999999989E-2</v>
      </c>
      <c r="O137" s="1"/>
      <c r="P137" s="1"/>
      <c r="Q137" s="1"/>
      <c r="R137" s="1"/>
      <c r="S137" s="1"/>
      <c r="T137" s="1"/>
      <c r="U137" s="1"/>
      <c r="V137" s="1"/>
      <c r="W137" s="4"/>
      <c r="X137" s="4"/>
      <c r="Y137" s="4"/>
      <c r="Z137" s="4"/>
    </row>
    <row r="138" spans="1:26" s="1" customFormat="1" ht="22" customHeight="1">
      <c r="A138" s="152"/>
      <c r="B138" s="54" t="s">
        <v>68</v>
      </c>
      <c r="C138" s="84">
        <v>0.22900000000000001</v>
      </c>
      <c r="D138" s="79">
        <v>0.214</v>
      </c>
      <c r="E138" s="79">
        <v>0.22800000000000001</v>
      </c>
      <c r="F138" s="79">
        <v>0.22600000000000001</v>
      </c>
      <c r="G138" s="79">
        <v>0.25</v>
      </c>
      <c r="H138" s="79">
        <v>0.255</v>
      </c>
      <c r="I138" s="155">
        <f>AVERAGE(C138:H138)</f>
        <v>0.23366666666666669</v>
      </c>
      <c r="J138" s="79">
        <f>$I$15</f>
        <v>0.24666666666666667</v>
      </c>
      <c r="K138" s="79">
        <f>$I$15</f>
        <v>0.24666666666666667</v>
      </c>
      <c r="L138" s="79">
        <f>$I$15</f>
        <v>0.24666666666666667</v>
      </c>
      <c r="M138" s="79">
        <f>$I$15</f>
        <v>0.24666666666666667</v>
      </c>
      <c r="N138" s="79">
        <f>$I$15</f>
        <v>0.24666666666666667</v>
      </c>
      <c r="O138" s="4"/>
      <c r="P138" s="4"/>
      <c r="Q138" s="4"/>
      <c r="R138" s="4"/>
      <c r="X138" s="5"/>
      <c r="Y138" s="5"/>
    </row>
    <row r="139" spans="1:26" s="1" customFormat="1" ht="22" customHeight="1">
      <c r="A139" s="152"/>
      <c r="B139" s="54" t="s">
        <v>83</v>
      </c>
      <c r="C139" s="71">
        <f t="shared" ref="C139:I139" si="165">C136*C138</f>
        <v>172.223343</v>
      </c>
      <c r="D139" s="71">
        <f t="shared" si="165"/>
        <v>964.92599999999993</v>
      </c>
      <c r="E139" s="71">
        <f t="shared" si="165"/>
        <v>572.73599999999999</v>
      </c>
      <c r="F139" s="71">
        <f t="shared" si="165"/>
        <v>2737.9900000000002</v>
      </c>
      <c r="G139" s="71">
        <f t="shared" si="165"/>
        <v>3670.25</v>
      </c>
      <c r="H139" s="71">
        <f t="shared" si="165"/>
        <v>4038.1800000000003</v>
      </c>
      <c r="I139" s="71">
        <f t="shared" si="165"/>
        <v>3829.8574199999998</v>
      </c>
      <c r="J139" s="71">
        <f t="shared" ref="J139:N139" si="166">J136*J138</f>
        <v>4245.0773399999998</v>
      </c>
      <c r="K139" s="71">
        <f t="shared" si="166"/>
        <v>4457.3312069999993</v>
      </c>
      <c r="L139" s="71">
        <f t="shared" si="166"/>
        <v>4680.1977673499996</v>
      </c>
      <c r="M139" s="71">
        <f t="shared" si="166"/>
        <v>4914.2076557174996</v>
      </c>
      <c r="N139" s="71">
        <f t="shared" si="166"/>
        <v>5159.9180385033751</v>
      </c>
      <c r="X139" s="5"/>
      <c r="Y139" s="5"/>
    </row>
    <row r="140" spans="1:26" s="1" customFormat="1" ht="22" customHeight="1">
      <c r="A140" s="152"/>
      <c r="B140" s="54"/>
      <c r="C140" s="54"/>
      <c r="D140" s="54"/>
      <c r="E140" s="54"/>
      <c r="F140" s="54"/>
      <c r="G140" s="54"/>
      <c r="H140" s="54"/>
      <c r="I140" s="54"/>
      <c r="J140" s="54"/>
      <c r="K140" s="71"/>
      <c r="L140" s="71"/>
      <c r="M140" s="71"/>
      <c r="N140" s="71"/>
      <c r="U140" s="4"/>
      <c r="V140" s="4"/>
      <c r="W140" s="4"/>
      <c r="X140" s="4"/>
      <c r="Y140" s="4"/>
      <c r="Z140" s="10"/>
    </row>
    <row r="141" spans="1:26" s="1" customFormat="1" ht="22" customHeight="1">
      <c r="A141" s="152" t="s">
        <v>77</v>
      </c>
      <c r="B141" s="66" t="s">
        <v>86</v>
      </c>
      <c r="C141" s="66">
        <f>C136</f>
        <v>752.06700000000001</v>
      </c>
      <c r="D141" s="66">
        <f>D136</f>
        <v>4509</v>
      </c>
      <c r="E141" s="66">
        <f>E136</f>
        <v>2512</v>
      </c>
      <c r="F141" s="66">
        <f>F136</f>
        <v>12115</v>
      </c>
      <c r="G141" s="66">
        <f t="shared" ref="G141:N141" si="167">G136</f>
        <v>14681</v>
      </c>
      <c r="H141" s="66">
        <f t="shared" si="167"/>
        <v>15836</v>
      </c>
      <c r="I141" s="66">
        <f t="shared" si="167"/>
        <v>16390.259999999998</v>
      </c>
      <c r="J141" s="66">
        <f t="shared" si="167"/>
        <v>17209.772999999997</v>
      </c>
      <c r="K141" s="66">
        <f t="shared" si="167"/>
        <v>18070.261649999997</v>
      </c>
      <c r="L141" s="66">
        <f t="shared" si="167"/>
        <v>18973.774732499998</v>
      </c>
      <c r="M141" s="66">
        <f t="shared" si="167"/>
        <v>19922.463469124999</v>
      </c>
      <c r="N141" s="66">
        <f t="shared" si="167"/>
        <v>20918.586642581249</v>
      </c>
      <c r="U141" s="5"/>
      <c r="V141" s="5"/>
      <c r="W141" s="5"/>
      <c r="Z141" s="10"/>
    </row>
    <row r="142" spans="1:26" s="1" customFormat="1" ht="22" customHeight="1">
      <c r="A142" s="136"/>
      <c r="B142" s="54" t="s">
        <v>87</v>
      </c>
      <c r="C142" s="66">
        <f>C139</f>
        <v>172.223343</v>
      </c>
      <c r="D142" s="66">
        <f t="shared" ref="D142:N142" si="168">D139</f>
        <v>964.92599999999993</v>
      </c>
      <c r="E142" s="66">
        <f>E139</f>
        <v>572.73599999999999</v>
      </c>
      <c r="F142" s="66">
        <f>F139</f>
        <v>2737.9900000000002</v>
      </c>
      <c r="G142" s="66">
        <f t="shared" si="168"/>
        <v>3670.25</v>
      </c>
      <c r="H142" s="66">
        <f t="shared" si="168"/>
        <v>4038.1800000000003</v>
      </c>
      <c r="I142" s="66">
        <f>I139</f>
        <v>3829.8574199999998</v>
      </c>
      <c r="J142" s="66">
        <f t="shared" si="168"/>
        <v>4245.0773399999998</v>
      </c>
      <c r="K142" s="66">
        <f t="shared" si="168"/>
        <v>4457.3312069999993</v>
      </c>
      <c r="L142" s="66">
        <f t="shared" si="168"/>
        <v>4680.1977673499996</v>
      </c>
      <c r="M142" s="66">
        <f t="shared" si="168"/>
        <v>4914.2076557174996</v>
      </c>
      <c r="N142" s="66">
        <f t="shared" si="168"/>
        <v>5159.9180385033751</v>
      </c>
      <c r="O142" s="10"/>
      <c r="P142" s="10"/>
      <c r="Q142" s="10"/>
      <c r="R142" s="10"/>
      <c r="S142" s="10"/>
      <c r="T142" s="10"/>
      <c r="U142" s="5"/>
      <c r="V142" s="5"/>
      <c r="W142" s="5"/>
      <c r="X142" s="5"/>
      <c r="Y142" s="5"/>
      <c r="Z142" s="2"/>
    </row>
    <row r="143" spans="1:26" s="1" customFormat="1" ht="22" customHeight="1">
      <c r="A143" s="153"/>
      <c r="B143" s="64" t="s">
        <v>107</v>
      </c>
      <c r="C143" s="71">
        <v>186.39599999999999</v>
      </c>
      <c r="D143" s="71">
        <f>ABS(D142-D146)</f>
        <v>93.036000000000058</v>
      </c>
      <c r="E143" s="71">
        <f t="shared" ref="E143:G143" si="169">ABS(E142-E146)</f>
        <v>5.1630000000000109</v>
      </c>
      <c r="F143" s="71">
        <f t="shared" si="169"/>
        <v>49.846999999999753</v>
      </c>
      <c r="G143" s="71">
        <f t="shared" si="169"/>
        <v>173.55299999999988</v>
      </c>
      <c r="H143" s="71">
        <f>ABS(H142-H146)</f>
        <v>128.53700000000026</v>
      </c>
      <c r="I143" s="71">
        <f>H143*(1+I144)</f>
        <v>133.03579500000026</v>
      </c>
      <c r="J143" s="71">
        <f>I143*(1+J144)</f>
        <v>139.68758475000027</v>
      </c>
      <c r="K143" s="71">
        <f>J143*(1+K144)</f>
        <v>146.67196398750028</v>
      </c>
      <c r="L143" s="71">
        <f t="shared" ref="L143:N143" si="170">K143*(1+L144)</f>
        <v>154.0055621868753</v>
      </c>
      <c r="M143" s="71">
        <f t="shared" si="170"/>
        <v>161.70584029621907</v>
      </c>
      <c r="N143" s="71">
        <f t="shared" si="170"/>
        <v>169.79113231103003</v>
      </c>
      <c r="O143" s="10"/>
      <c r="P143" s="10"/>
      <c r="Q143" s="10"/>
      <c r="R143" s="10"/>
      <c r="S143" s="10"/>
      <c r="T143" s="10"/>
      <c r="U143" s="4"/>
      <c r="V143" s="4"/>
      <c r="W143" s="4"/>
      <c r="X143" s="5"/>
      <c r="Y143" s="5"/>
    </row>
    <row r="144" spans="1:26" s="1" customFormat="1" ht="18" customHeight="1">
      <c r="A144" s="153"/>
      <c r="B144" s="64" t="s">
        <v>92</v>
      </c>
      <c r="C144" s="79">
        <f>(C143-821)/821</f>
        <v>-0.77296467722289897</v>
      </c>
      <c r="D144" s="79">
        <f>(D143-C143)/C143</f>
        <v>-0.50086911736303319</v>
      </c>
      <c r="E144" s="79">
        <f>(E143-D143)/D143</f>
        <v>-0.94450535276667091</v>
      </c>
      <c r="F144" s="79">
        <f>(F143-E143)/E143</f>
        <v>8.65465814448957</v>
      </c>
      <c r="G144" s="79">
        <f>(G143-F143)/F143</f>
        <v>2.4817140449776467</v>
      </c>
      <c r="H144" s="79">
        <f>(H143-G143)/G143</f>
        <v>-0.25937897933195997</v>
      </c>
      <c r="I144" s="156">
        <f>I133</f>
        <v>3.5000000000000003E-2</v>
      </c>
      <c r="J144" s="79">
        <f>J133</f>
        <v>0.05</v>
      </c>
      <c r="K144" s="79">
        <f t="shared" ref="K144:N144" si="171">K133</f>
        <v>0.05</v>
      </c>
      <c r="L144" s="79">
        <f t="shared" si="171"/>
        <v>0.05</v>
      </c>
      <c r="M144" s="79">
        <f t="shared" si="171"/>
        <v>0.05</v>
      </c>
      <c r="N144" s="79">
        <f t="shared" si="171"/>
        <v>0.05</v>
      </c>
      <c r="O144" s="2"/>
      <c r="P144" s="2"/>
      <c r="Q144" s="2"/>
      <c r="R144" s="2"/>
      <c r="S144" s="2"/>
      <c r="T144" s="2"/>
      <c r="U144" s="4"/>
      <c r="V144" s="4"/>
      <c r="W144" s="4"/>
    </row>
    <row r="145" spans="1:26" s="1" customFormat="1" ht="22" customHeight="1">
      <c r="A145" s="64"/>
      <c r="B145" s="66" t="s">
        <v>78</v>
      </c>
      <c r="C145" s="64">
        <f>C143/C142</f>
        <v>1.0822923115596472</v>
      </c>
      <c r="D145" s="64">
        <f t="shared" ref="D145:G145" si="172">D143/D142</f>
        <v>9.6417756387536524E-2</v>
      </c>
      <c r="E145" s="64">
        <f t="shared" si="172"/>
        <v>9.0146245390546626E-3</v>
      </c>
      <c r="F145" s="64">
        <f t="shared" si="172"/>
        <v>1.820569103612495E-2</v>
      </c>
      <c r="G145" s="64">
        <f t="shared" si="172"/>
        <v>4.7286424630474728E-2</v>
      </c>
      <c r="H145" s="64">
        <f>H143/H142</f>
        <v>3.1830428559400582E-2</v>
      </c>
      <c r="I145" s="64">
        <f>I143/I142</f>
        <v>3.4736487657548429E-2</v>
      </c>
      <c r="J145" s="64">
        <f>J143/J142</f>
        <v>3.2905780875596549E-2</v>
      </c>
      <c r="K145" s="64">
        <f t="shared" ref="K145:N145" si="173">K143/K142</f>
        <v>3.2905780875596556E-2</v>
      </c>
      <c r="L145" s="64">
        <f t="shared" si="173"/>
        <v>3.2905780875596549E-2</v>
      </c>
      <c r="M145" s="64">
        <f t="shared" si="173"/>
        <v>3.2905780875596549E-2</v>
      </c>
      <c r="N145" s="64">
        <f t="shared" si="173"/>
        <v>3.2905780875596549E-2</v>
      </c>
      <c r="U145" s="5"/>
      <c r="V145" s="5"/>
      <c r="W145" s="5"/>
    </row>
    <row r="146" spans="1:26" s="1" customFormat="1" ht="22" customHeight="1">
      <c r="A146" s="136"/>
      <c r="B146" s="66" t="s">
        <v>88</v>
      </c>
      <c r="C146" s="71">
        <v>565.67100000000005</v>
      </c>
      <c r="D146" s="71">
        <v>1057.962</v>
      </c>
      <c r="E146" s="71">
        <v>567.57299999999998</v>
      </c>
      <c r="F146" s="71">
        <v>2787.837</v>
      </c>
      <c r="G146" s="71">
        <v>3496.6970000000001</v>
      </c>
      <c r="H146" s="178">
        <v>3909.643</v>
      </c>
      <c r="I146" s="71">
        <f>I142-I143</f>
        <v>3696.8216249999996</v>
      </c>
      <c r="J146" s="71">
        <f t="shared" ref="J146:N146" si="174">J142-J143</f>
        <v>4105.3897552499993</v>
      </c>
      <c r="K146" s="71">
        <f t="shared" si="174"/>
        <v>4310.6592430124992</v>
      </c>
      <c r="L146" s="71">
        <f t="shared" si="174"/>
        <v>4526.1922051631245</v>
      </c>
      <c r="M146" s="71">
        <f t="shared" si="174"/>
        <v>4752.5018154212803</v>
      </c>
      <c r="N146" s="71">
        <f t="shared" si="174"/>
        <v>4990.1269061923449</v>
      </c>
      <c r="U146" s="5"/>
      <c r="V146" s="5"/>
      <c r="W146" s="5"/>
    </row>
    <row r="147" spans="1:26" ht="22" customHeight="1">
      <c r="A147" s="136"/>
      <c r="B147" s="64" t="s">
        <v>79</v>
      </c>
      <c r="C147" s="64">
        <f>(C146-1296)/1296</f>
        <v>-0.56352546296296291</v>
      </c>
      <c r="D147" s="64">
        <f>(D146-C146)/C146</f>
        <v>0.87027795308580413</v>
      </c>
      <c r="E147" s="64">
        <f t="shared" ref="E147" si="175">(E146-D146)/D146</f>
        <v>-0.4635223193271592</v>
      </c>
      <c r="F147" s="64">
        <f t="shared" ref="F147" si="176">(F146-E146)/E146</f>
        <v>3.9118562722328232</v>
      </c>
      <c r="G147" s="64">
        <f t="shared" ref="G147" si="177">(G146-F146)/F146</f>
        <v>0.25426881126837764</v>
      </c>
      <c r="H147" s="64">
        <f t="shared" ref="H147" si="178">(H146-G146)/G146</f>
        <v>0.11809602033004286</v>
      </c>
      <c r="I147" s="64">
        <f>(I146-H146)/H146</f>
        <v>-5.443498933278574E-2</v>
      </c>
      <c r="J147" s="64">
        <f>(J146-I146)/I146</f>
        <v>0.11051875683885608</v>
      </c>
      <c r="K147" s="64">
        <f>(K146-J146)/J146</f>
        <v>4.9999999999999989E-2</v>
      </c>
      <c r="L147" s="64">
        <f t="shared" ref="L147" si="179">(L146-K146)/K146</f>
        <v>5.0000000000000072E-2</v>
      </c>
      <c r="M147" s="64">
        <f t="shared" ref="M147" si="180">(M146-L146)/L146</f>
        <v>4.9999999999999899E-2</v>
      </c>
      <c r="N147" s="64">
        <f t="shared" ref="N147" si="181">(N146-M146)/M146</f>
        <v>5.0000000000000128E-2</v>
      </c>
      <c r="O147" s="1"/>
      <c r="P147" s="1"/>
      <c r="Q147" s="1"/>
      <c r="R147" s="1"/>
      <c r="S147" s="1"/>
      <c r="T147" s="1"/>
      <c r="U147" s="4"/>
      <c r="V147" s="4"/>
      <c r="W147" s="4"/>
      <c r="X147" s="1"/>
      <c r="Y147" s="1"/>
      <c r="Z147" s="1"/>
    </row>
    <row r="148" spans="1:26" ht="22" customHeight="1">
      <c r="A148" s="65"/>
      <c r="B148" s="65"/>
      <c r="C148" s="65"/>
      <c r="D148" s="65"/>
      <c r="E148" s="65"/>
      <c r="F148" s="65"/>
      <c r="G148" s="65"/>
      <c r="H148" s="65"/>
      <c r="I148" s="64"/>
      <c r="J148" s="65"/>
      <c r="K148" s="65"/>
      <c r="L148" s="65"/>
      <c r="M148" s="65"/>
      <c r="N148" s="65"/>
      <c r="O148" s="1"/>
      <c r="P148" s="1"/>
      <c r="Q148" s="1"/>
      <c r="R148" s="1"/>
      <c r="S148" s="1"/>
      <c r="T148" s="1"/>
      <c r="U148" s="1"/>
      <c r="V148" s="1"/>
      <c r="W148" s="1"/>
      <c r="X148" s="4"/>
      <c r="Y148" s="4"/>
      <c r="Z148" s="1"/>
    </row>
    <row r="149" spans="1:26" ht="22" customHeight="1">
      <c r="A149" s="54"/>
      <c r="B149" s="54" t="s">
        <v>105</v>
      </c>
      <c r="C149" s="71">
        <f>C143</f>
        <v>186.39599999999999</v>
      </c>
      <c r="D149" s="71">
        <f>D143</f>
        <v>93.036000000000058</v>
      </c>
      <c r="E149" s="71">
        <f t="shared" ref="E149:N149" si="182">E143</f>
        <v>5.1630000000000109</v>
      </c>
      <c r="F149" s="71">
        <f t="shared" si="182"/>
        <v>49.846999999999753</v>
      </c>
      <c r="G149" s="71">
        <f t="shared" si="182"/>
        <v>173.55299999999988</v>
      </c>
      <c r="H149" s="71">
        <f t="shared" si="182"/>
        <v>128.53700000000026</v>
      </c>
      <c r="I149" s="71">
        <f t="shared" si="182"/>
        <v>133.03579500000026</v>
      </c>
      <c r="J149" s="71">
        <f t="shared" si="182"/>
        <v>139.68758475000027</v>
      </c>
      <c r="K149" s="71">
        <f t="shared" si="182"/>
        <v>146.67196398750028</v>
      </c>
      <c r="L149" s="71">
        <f t="shared" si="182"/>
        <v>154.0055621868753</v>
      </c>
      <c r="M149" s="71">
        <f t="shared" si="182"/>
        <v>161.70584029621907</v>
      </c>
      <c r="N149" s="71">
        <f t="shared" si="182"/>
        <v>169.79113231103003</v>
      </c>
      <c r="O149" s="1"/>
      <c r="P149" s="1"/>
      <c r="Q149" s="1"/>
      <c r="R149" s="1"/>
      <c r="S149" s="1"/>
      <c r="T149" s="1"/>
      <c r="U149" s="5"/>
      <c r="V149" s="5"/>
      <c r="W149" s="5"/>
      <c r="X149" s="1"/>
      <c r="Y149" s="1"/>
      <c r="Z149" s="1"/>
    </row>
    <row r="150" spans="1:26" ht="22" customHeight="1">
      <c r="A150" s="54"/>
      <c r="B150" s="54" t="s">
        <v>151</v>
      </c>
      <c r="C150" s="72">
        <f>C163/C176</f>
        <v>5.5769503108711239E-2</v>
      </c>
      <c r="D150" s="72">
        <f t="shared" ref="D150:N150" si="183">D163/D176</f>
        <v>5.4922482636953131E-2</v>
      </c>
      <c r="E150" s="72">
        <f t="shared" si="183"/>
        <v>6.4157436315401148E-2</v>
      </c>
      <c r="F150" s="72">
        <f t="shared" si="183"/>
        <v>5.6176272962183957E-2</v>
      </c>
      <c r="G150" s="72">
        <f t="shared" si="183"/>
        <v>5.4146496207224379E-2</v>
      </c>
      <c r="H150" s="72">
        <f t="shared" si="183"/>
        <v>4.230566395240605E-2</v>
      </c>
      <c r="I150" s="72">
        <f t="shared" si="183"/>
        <v>4.5771385962749746E-2</v>
      </c>
      <c r="J150" s="72">
        <f t="shared" si="183"/>
        <v>4.3595092556359162E-2</v>
      </c>
      <c r="K150" s="72">
        <f t="shared" si="183"/>
        <v>4.3595092556359162E-2</v>
      </c>
      <c r="L150" s="72">
        <f t="shared" si="183"/>
        <v>4.3595092556359155E-2</v>
      </c>
      <c r="M150" s="72">
        <f t="shared" si="183"/>
        <v>4.3595092556359162E-2</v>
      </c>
      <c r="N150" s="72">
        <f t="shared" si="183"/>
        <v>4.3595092556359162E-2</v>
      </c>
      <c r="O150" s="1"/>
      <c r="P150" s="1"/>
      <c r="Q150" s="1"/>
      <c r="R150" s="1"/>
      <c r="S150" s="1"/>
      <c r="T150" s="1"/>
      <c r="U150" s="5"/>
      <c r="V150" s="5"/>
      <c r="W150" s="5"/>
      <c r="X150" s="1"/>
      <c r="Y150" s="1"/>
      <c r="Z150" s="1"/>
    </row>
    <row r="151" spans="1:26" ht="22" customHeight="1">
      <c r="A151" s="54"/>
      <c r="B151" s="54" t="s">
        <v>127</v>
      </c>
      <c r="C151" s="87">
        <f>C149*C150</f>
        <v>10.395212301451339</v>
      </c>
      <c r="D151" s="87">
        <f t="shared" ref="D151:N151" si="184">D149*D150</f>
        <v>5.1097680946115744</v>
      </c>
      <c r="E151" s="87">
        <f t="shared" si="184"/>
        <v>0.33124484369641682</v>
      </c>
      <c r="F151" s="87">
        <f t="shared" si="184"/>
        <v>2.8002186783459697</v>
      </c>
      <c r="G151" s="87">
        <f t="shared" si="184"/>
        <v>9.397286856252407</v>
      </c>
      <c r="H151" s="87">
        <f t="shared" si="184"/>
        <v>5.437843127450428</v>
      </c>
      <c r="I151" s="87">
        <f t="shared" si="184"/>
        <v>6.0892327198062652</v>
      </c>
      <c r="J151" s="87">
        <f t="shared" si="184"/>
        <v>6.0896931861505266</v>
      </c>
      <c r="K151" s="87">
        <f t="shared" si="184"/>
        <v>6.394177845458052</v>
      </c>
      <c r="L151" s="87">
        <f t="shared" si="184"/>
        <v>6.7138867377309541</v>
      </c>
      <c r="M151" s="87">
        <f t="shared" si="184"/>
        <v>7.0495810746175032</v>
      </c>
      <c r="N151" s="87">
        <f t="shared" si="184"/>
        <v>7.4020601283483787</v>
      </c>
      <c r="O151" s="1"/>
      <c r="P151" s="1"/>
      <c r="Q151" s="1"/>
      <c r="R151" s="1"/>
      <c r="S151" s="1"/>
      <c r="T151" s="1"/>
      <c r="U151" s="5"/>
      <c r="V151" s="5"/>
      <c r="W151" s="5"/>
      <c r="X151" s="1"/>
      <c r="Y151" s="1"/>
      <c r="Z151" s="1"/>
    </row>
    <row r="152" spans="1:26" ht="22" customHeight="1">
      <c r="A152" s="54"/>
      <c r="B152" s="54" t="s">
        <v>152</v>
      </c>
      <c r="C152" s="72">
        <f>C168/C176</f>
        <v>6.1342798799457282E-2</v>
      </c>
      <c r="D152" s="72">
        <f t="shared" ref="D152:N152" si="185">D168/D176</f>
        <v>5.6566902964334004E-2</v>
      </c>
      <c r="E152" s="72">
        <f t="shared" si="185"/>
        <v>7.3207411597210781E-2</v>
      </c>
      <c r="F152" s="72">
        <f t="shared" si="185"/>
        <v>5.1264757298701273E-2</v>
      </c>
      <c r="G152" s="72">
        <f t="shared" si="185"/>
        <v>6.610084964538443E-2</v>
      </c>
      <c r="H152" s="72">
        <f t="shared" si="185"/>
        <v>7.2564466397997379E-2</v>
      </c>
      <c r="I152" s="72">
        <f t="shared" si="185"/>
        <v>7.8509019558711507E-2</v>
      </c>
      <c r="J152" s="72">
        <f t="shared" si="185"/>
        <v>7.4776148945030207E-2</v>
      </c>
      <c r="K152" s="72">
        <f t="shared" si="185"/>
        <v>7.4776148945030207E-2</v>
      </c>
      <c r="L152" s="72">
        <f t="shared" si="185"/>
        <v>7.4776148945030194E-2</v>
      </c>
      <c r="M152" s="72">
        <f t="shared" si="185"/>
        <v>7.4776148945030207E-2</v>
      </c>
      <c r="N152" s="72">
        <f t="shared" si="185"/>
        <v>7.4776148945030194E-2</v>
      </c>
      <c r="O152" s="1"/>
      <c r="P152" s="1"/>
      <c r="Q152" s="1"/>
      <c r="R152" s="1"/>
      <c r="S152" s="1"/>
      <c r="T152" s="1"/>
      <c r="U152" s="5"/>
      <c r="V152" s="5"/>
      <c r="W152" s="5"/>
      <c r="X152" s="1"/>
      <c r="Y152" s="1"/>
      <c r="Z152" s="1"/>
    </row>
    <row r="153" spans="1:26" ht="22" customHeight="1">
      <c r="A153" s="54"/>
      <c r="B153" s="54" t="s">
        <v>128</v>
      </c>
      <c r="C153" s="71">
        <f>C149*C152</f>
        <v>11.434052325023639</v>
      </c>
      <c r="D153" s="71">
        <f t="shared" ref="D153:N153" si="186">D149*D152</f>
        <v>5.262758384189782</v>
      </c>
      <c r="E153" s="71">
        <f t="shared" si="186"/>
        <v>0.37796986607640004</v>
      </c>
      <c r="F153" s="71">
        <f t="shared" si="186"/>
        <v>2.5553943570683497</v>
      </c>
      <c r="G153" s="71">
        <f t="shared" si="186"/>
        <v>11.472000758505397</v>
      </c>
      <c r="H153" s="71">
        <f t="shared" si="186"/>
        <v>9.3272188173994088</v>
      </c>
      <c r="I153" s="71">
        <f t="shared" si="186"/>
        <v>10.444509831663755</v>
      </c>
      <c r="J153" s="71">
        <f t="shared" si="186"/>
        <v>10.445299643037551</v>
      </c>
      <c r="K153" s="71">
        <f t="shared" si="186"/>
        <v>10.967564625189427</v>
      </c>
      <c r="L153" s="71">
        <f t="shared" si="186"/>
        <v>11.515942856448897</v>
      </c>
      <c r="M153" s="71">
        <f t="shared" si="186"/>
        <v>12.091739999271345</v>
      </c>
      <c r="N153" s="71">
        <f t="shared" si="186"/>
        <v>12.696326999234909</v>
      </c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2" customHeight="1">
      <c r="A154" s="54"/>
      <c r="B154" s="54" t="s">
        <v>155</v>
      </c>
      <c r="C154" s="72">
        <f>C173/C176</f>
        <v>2.1507439436092114E-2</v>
      </c>
      <c r="D154" s="72">
        <f t="shared" ref="D154:N154" si="187">D173/D176</f>
        <v>1.4711408775142246E-2</v>
      </c>
      <c r="E154" s="72">
        <f t="shared" si="187"/>
        <v>2.0029899360593122E-2</v>
      </c>
      <c r="F154" s="72">
        <f t="shared" si="187"/>
        <v>8.5441790659526919E-3</v>
      </c>
      <c r="G154" s="72">
        <f t="shared" si="187"/>
        <v>1.0443060632699416E-2</v>
      </c>
      <c r="H154" s="72">
        <f t="shared" si="187"/>
        <v>8.8707484944785045E-3</v>
      </c>
      <c r="I154" s="72">
        <f t="shared" si="187"/>
        <v>9.5974490218623514E-3</v>
      </c>
      <c r="J154" s="72">
        <f t="shared" si="187"/>
        <v>9.1411188368544713E-3</v>
      </c>
      <c r="K154" s="72">
        <f t="shared" si="187"/>
        <v>9.1411188368544696E-3</v>
      </c>
      <c r="L154" s="72">
        <f t="shared" si="187"/>
        <v>9.1411188368544696E-3</v>
      </c>
      <c r="M154" s="72">
        <f t="shared" si="187"/>
        <v>9.1411188368544696E-3</v>
      </c>
      <c r="N154" s="72">
        <f t="shared" si="187"/>
        <v>9.1411188368544678E-3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2" customHeight="1">
      <c r="A155" s="66"/>
      <c r="B155" s="66" t="s">
        <v>153</v>
      </c>
      <c r="C155" s="71">
        <f>C149*C154</f>
        <v>4.0089006811298251</v>
      </c>
      <c r="D155" s="71">
        <f t="shared" ref="D155:N155" si="188">D149*D154</f>
        <v>1.3686906268041348</v>
      </c>
      <c r="E155" s="71">
        <f t="shared" si="188"/>
        <v>0.1034143703987425</v>
      </c>
      <c r="F155" s="71">
        <f t="shared" si="188"/>
        <v>0.42590169390054172</v>
      </c>
      <c r="G155" s="71">
        <f t="shared" si="188"/>
        <v>1.8124245019868805</v>
      </c>
      <c r="H155" s="71">
        <f t="shared" si="188"/>
        <v>1.1402193992347858</v>
      </c>
      <c r="I155" s="71">
        <f t="shared" si="188"/>
        <v>1.2768042605954328</v>
      </c>
      <c r="J155" s="71">
        <f t="shared" si="188"/>
        <v>1.2769008122329328</v>
      </c>
      <c r="K155" s="71">
        <f t="shared" si="188"/>
        <v>1.3407458528445793</v>
      </c>
      <c r="L155" s="71">
        <f t="shared" si="188"/>
        <v>1.4077831454868082</v>
      </c>
      <c r="M155" s="71">
        <f t="shared" si="188"/>
        <v>1.4781723027611486</v>
      </c>
      <c r="N155" s="71">
        <f t="shared" si="188"/>
        <v>1.5520809178992059</v>
      </c>
      <c r="O155" s="1"/>
      <c r="P155" s="1"/>
      <c r="Q155" s="1"/>
      <c r="R155" s="1"/>
      <c r="S155" s="1"/>
      <c r="T155" s="1"/>
      <c r="U155" s="1"/>
      <c r="V155" s="1"/>
      <c r="W155" s="1"/>
      <c r="X155" s="10"/>
      <c r="Y155" s="10"/>
      <c r="Z155" s="1"/>
    </row>
    <row r="156" spans="1:26" ht="22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1"/>
      <c r="P156" s="1"/>
      <c r="Q156" s="1"/>
      <c r="R156" s="1"/>
      <c r="S156" s="1"/>
      <c r="T156" s="1"/>
      <c r="U156" s="1"/>
      <c r="V156" s="1"/>
      <c r="W156" s="1"/>
      <c r="X156" s="10"/>
      <c r="Y156" s="10"/>
    </row>
    <row r="157" spans="1:26" ht="22" customHeight="1">
      <c r="A157" s="136" t="s">
        <v>81</v>
      </c>
      <c r="B157" s="64" t="s">
        <v>80</v>
      </c>
      <c r="C157" s="79">
        <f>C142/C141</f>
        <v>0.22900000000000001</v>
      </c>
      <c r="D157" s="79">
        <f t="shared" ref="D157:N157" si="189">D142/D141</f>
        <v>0.214</v>
      </c>
      <c r="E157" s="79">
        <f t="shared" si="189"/>
        <v>0.22800000000000001</v>
      </c>
      <c r="F157" s="79">
        <f t="shared" si="189"/>
        <v>0.22600000000000001</v>
      </c>
      <c r="G157" s="79">
        <f t="shared" si="189"/>
        <v>0.25</v>
      </c>
      <c r="H157" s="79">
        <f>H142/H141</f>
        <v>0.255</v>
      </c>
      <c r="I157" s="79">
        <f t="shared" si="189"/>
        <v>0.23366666666666669</v>
      </c>
      <c r="J157" s="79">
        <f t="shared" si="189"/>
        <v>0.2466666666666667</v>
      </c>
      <c r="K157" s="79">
        <f t="shared" si="189"/>
        <v>0.24666666666666667</v>
      </c>
      <c r="L157" s="79">
        <f t="shared" si="189"/>
        <v>0.24666666666666667</v>
      </c>
      <c r="M157" s="79">
        <f t="shared" si="189"/>
        <v>0.24666666666666665</v>
      </c>
      <c r="N157" s="79">
        <f t="shared" si="189"/>
        <v>0.24666666666666667</v>
      </c>
      <c r="U157" s="1"/>
      <c r="V157" s="1"/>
      <c r="W157" s="1"/>
      <c r="X157" s="2"/>
      <c r="Y157" s="2"/>
    </row>
    <row r="158" spans="1:26" ht="22" customHeight="1">
      <c r="A158" s="64"/>
      <c r="B158" s="54" t="s">
        <v>104</v>
      </c>
      <c r="C158" s="150">
        <f t="shared" ref="C158:N158" si="190">C146/C142</f>
        <v>3.284519915514589</v>
      </c>
      <c r="D158" s="150">
        <f t="shared" si="190"/>
        <v>1.0964177563875366</v>
      </c>
      <c r="E158" s="150">
        <f t="shared" si="190"/>
        <v>0.99098537546094534</v>
      </c>
      <c r="F158" s="150">
        <f t="shared" si="190"/>
        <v>1.018205691036125</v>
      </c>
      <c r="G158" s="150">
        <f t="shared" si="190"/>
        <v>0.95271357536952528</v>
      </c>
      <c r="H158" s="150">
        <f t="shared" si="190"/>
        <v>0.96816957144059945</v>
      </c>
      <c r="I158" s="150">
        <f t="shared" si="190"/>
        <v>0.96526351234245156</v>
      </c>
      <c r="J158" s="150">
        <f t="shared" si="190"/>
        <v>0.96709421912440341</v>
      </c>
      <c r="K158" s="150">
        <f t="shared" si="190"/>
        <v>0.96709421912440352</v>
      </c>
      <c r="L158" s="150">
        <f t="shared" si="190"/>
        <v>0.96709421912440352</v>
      </c>
      <c r="M158" s="150">
        <f t="shared" si="190"/>
        <v>0.96709421912440341</v>
      </c>
      <c r="N158" s="150">
        <f t="shared" si="190"/>
        <v>0.96709421912440341</v>
      </c>
      <c r="U158" s="4"/>
      <c r="V158" s="4"/>
      <c r="W158" s="4"/>
      <c r="X158" s="1"/>
      <c r="Y158" s="1"/>
    </row>
    <row r="159" spans="1:26" ht="22" customHeight="1">
      <c r="A159" s="65"/>
      <c r="B159" s="54" t="s">
        <v>106</v>
      </c>
      <c r="C159" s="72">
        <f>1-C158</f>
        <v>-2.284519915514589</v>
      </c>
      <c r="D159" s="72">
        <f>1-D158</f>
        <v>-9.641775638753658E-2</v>
      </c>
      <c r="E159" s="72">
        <f t="shared" ref="E159:N159" si="191">1-E158</f>
        <v>9.0146245390546609E-3</v>
      </c>
      <c r="F159" s="72">
        <f t="shared" si="191"/>
        <v>-1.8205691036125016E-2</v>
      </c>
      <c r="G159" s="72">
        <f t="shared" si="191"/>
        <v>4.7286424630474722E-2</v>
      </c>
      <c r="H159" s="72">
        <f t="shared" si="191"/>
        <v>3.1830428559400548E-2</v>
      </c>
      <c r="I159" s="72">
        <f t="shared" si="191"/>
        <v>3.4736487657548443E-2</v>
      </c>
      <c r="J159" s="72">
        <f t="shared" si="191"/>
        <v>3.2905780875596591E-2</v>
      </c>
      <c r="K159" s="72">
        <f t="shared" si="191"/>
        <v>3.290578087559648E-2</v>
      </c>
      <c r="L159" s="72">
        <f t="shared" si="191"/>
        <v>3.290578087559648E-2</v>
      </c>
      <c r="M159" s="72">
        <f t="shared" si="191"/>
        <v>3.2905780875596591E-2</v>
      </c>
      <c r="N159" s="72">
        <f t="shared" si="191"/>
        <v>3.2905780875596591E-2</v>
      </c>
      <c r="U159" s="1"/>
      <c r="V159" s="1"/>
      <c r="W159" s="1"/>
      <c r="X159" s="1"/>
      <c r="Y159" s="1"/>
    </row>
    <row r="160" spans="1:26" ht="22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U160" s="1"/>
      <c r="V160" s="1"/>
      <c r="W160" s="1"/>
      <c r="X160" s="1"/>
      <c r="Y160" s="1"/>
    </row>
    <row r="161" spans="1:25" ht="22" customHeight="1">
      <c r="A161" s="54" t="s">
        <v>95</v>
      </c>
      <c r="B161" s="164"/>
      <c r="C161" s="72"/>
      <c r="D161" s="72"/>
      <c r="E161" s="72"/>
      <c r="F161" s="72"/>
      <c r="G161" s="72"/>
      <c r="H161" s="72"/>
      <c r="I161" s="79"/>
      <c r="J161" s="79"/>
      <c r="K161" s="79"/>
      <c r="L161" s="79"/>
      <c r="M161" s="79"/>
      <c r="N161" s="79"/>
      <c r="U161" s="1"/>
      <c r="V161" s="1"/>
      <c r="W161" s="1"/>
      <c r="X161" s="1"/>
      <c r="Y161" s="1"/>
    </row>
    <row r="162" spans="1:25" ht="22" customHeight="1">
      <c r="A162" s="54"/>
      <c r="B162" s="164" t="s">
        <v>134</v>
      </c>
      <c r="C162" s="191">
        <f>C163-C151</f>
        <v>26.228787698548665</v>
      </c>
      <c r="D162" s="191">
        <f t="shared" ref="D162:N162" si="192">D163-D151</f>
        <v>61.38823190538843</v>
      </c>
      <c r="E162" s="191">
        <f t="shared" si="192"/>
        <v>42.884755156303584</v>
      </c>
      <c r="F162" s="191">
        <f t="shared" si="192"/>
        <v>174.35778132165402</v>
      </c>
      <c r="G162" s="191">
        <f t="shared" si="192"/>
        <v>208.40071314374759</v>
      </c>
      <c r="H162" s="191">
        <f t="shared" si="192"/>
        <v>183.31915687254957</v>
      </c>
      <c r="I162" s="191">
        <f t="shared" si="192"/>
        <v>189.27426228019374</v>
      </c>
      <c r="J162" s="191">
        <f t="shared" si="192"/>
        <v>199.04197656384949</v>
      </c>
      <c r="K162" s="191">
        <f t="shared" si="192"/>
        <v>208.99407539204199</v>
      </c>
      <c r="L162" s="191">
        <f t="shared" si="192"/>
        <v>219.4437791616441</v>
      </c>
      <c r="M162" s="191">
        <f t="shared" si="192"/>
        <v>230.41596811972633</v>
      </c>
      <c r="N162" s="191">
        <f t="shared" si="192"/>
        <v>241.93676652571264</v>
      </c>
      <c r="U162" s="1"/>
      <c r="V162" s="1"/>
      <c r="W162" s="1"/>
      <c r="X162" s="1"/>
      <c r="Y162" s="1"/>
    </row>
    <row r="163" spans="1:25" ht="22" customHeight="1">
      <c r="A163" s="54"/>
      <c r="B163" s="54" t="s">
        <v>133</v>
      </c>
      <c r="C163" s="77">
        <v>36.624000000000002</v>
      </c>
      <c r="D163" s="77">
        <v>66.498000000000005</v>
      </c>
      <c r="E163" s="77">
        <v>43.216000000000001</v>
      </c>
      <c r="F163" s="77">
        <v>177.15799999999999</v>
      </c>
      <c r="G163" s="77">
        <v>217.798</v>
      </c>
      <c r="H163" s="77">
        <v>188.75700000000001</v>
      </c>
      <c r="I163" s="77">
        <f t="shared" ref="I163:N163" si="193">H163*(1+I133)</f>
        <v>195.363495</v>
      </c>
      <c r="J163" s="77">
        <f t="shared" si="193"/>
        <v>205.13166975000001</v>
      </c>
      <c r="K163" s="77">
        <f t="shared" si="193"/>
        <v>215.38825323750004</v>
      </c>
      <c r="L163" s="77">
        <f t="shared" si="193"/>
        <v>226.15766589937505</v>
      </c>
      <c r="M163" s="77">
        <f t="shared" si="193"/>
        <v>237.46554919434382</v>
      </c>
      <c r="N163" s="77">
        <f t="shared" si="193"/>
        <v>249.33882665406102</v>
      </c>
      <c r="U163" s="10"/>
      <c r="V163" s="10"/>
      <c r="W163" s="10"/>
      <c r="X163" s="1"/>
      <c r="Y163" s="1"/>
    </row>
    <row r="164" spans="1:25" ht="22" customHeight="1">
      <c r="A164" s="54"/>
      <c r="B164" s="66" t="s">
        <v>147</v>
      </c>
      <c r="C164" s="175">
        <f>(C163-142.306)/142.306</f>
        <v>-0.7426391016541819</v>
      </c>
      <c r="D164" s="175">
        <f>(D162-C162)/C162</f>
        <v>1.3404906323133365</v>
      </c>
      <c r="E164" s="175">
        <f t="shared" ref="E164:N164" si="194">(E162-D162)/D162</f>
        <v>-0.30141732665639259</v>
      </c>
      <c r="F164" s="175">
        <f t="shared" si="194"/>
        <v>3.065728734748888</v>
      </c>
      <c r="G164" s="175">
        <f t="shared" si="194"/>
        <v>0.19524756259252585</v>
      </c>
      <c r="H164" s="175">
        <f t="shared" si="194"/>
        <v>-0.1203525453096585</v>
      </c>
      <c r="I164" s="175">
        <f t="shared" si="194"/>
        <v>3.2484905065237581E-2</v>
      </c>
      <c r="J164" s="175">
        <f>(J162-I162)/I162</f>
        <v>5.1606141088512247E-2</v>
      </c>
      <c r="K164" s="175">
        <f>(K162-J162)/J162</f>
        <v>5.0000000000000148E-2</v>
      </c>
      <c r="L164" s="175">
        <f t="shared" si="194"/>
        <v>5.0000000000000044E-2</v>
      </c>
      <c r="M164" s="175">
        <f t="shared" si="194"/>
        <v>5.0000000000000107E-2</v>
      </c>
      <c r="N164" s="175">
        <f t="shared" si="194"/>
        <v>4.9999999999999982E-2</v>
      </c>
      <c r="U164" s="10"/>
      <c r="V164" s="10"/>
      <c r="W164" s="10"/>
      <c r="X164" s="1"/>
      <c r="Y164" s="1"/>
    </row>
    <row r="165" spans="1:25" ht="22" customHeight="1">
      <c r="A165" s="179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U165" s="2"/>
      <c r="V165" s="2"/>
      <c r="W165" s="2"/>
      <c r="X165" s="1"/>
      <c r="Y165" s="1"/>
    </row>
    <row r="166" spans="1:25" ht="22" customHeight="1">
      <c r="A166" s="64" t="s">
        <v>103</v>
      </c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U166" s="1"/>
      <c r="V166" s="1"/>
      <c r="W166" s="1"/>
      <c r="X166" s="1"/>
      <c r="Y166" s="1"/>
    </row>
    <row r="167" spans="1:25" ht="22" customHeight="1">
      <c r="A167" s="64"/>
      <c r="B167" s="67" t="s">
        <v>137</v>
      </c>
      <c r="C167" s="67">
        <f>C168-C153</f>
        <v>28.849947674976359</v>
      </c>
      <c r="D167" s="67">
        <f t="shared" ref="D167:N167" si="195">D168-D153</f>
        <v>63.226241615810224</v>
      </c>
      <c r="E167" s="67">
        <f t="shared" si="195"/>
        <v>48.934030133923599</v>
      </c>
      <c r="F167" s="67">
        <f t="shared" si="195"/>
        <v>159.11360564293167</v>
      </c>
      <c r="G167" s="67">
        <f t="shared" si="195"/>
        <v>254.41099924149458</v>
      </c>
      <c r="H167" s="67">
        <f t="shared" si="195"/>
        <v>314.43678118260061</v>
      </c>
      <c r="I167" s="67">
        <f t="shared" si="195"/>
        <v>324.65123016833621</v>
      </c>
      <c r="J167" s="67">
        <f t="shared" si="195"/>
        <v>341.40522735696243</v>
      </c>
      <c r="K167" s="67">
        <f t="shared" si="195"/>
        <v>358.47548872481059</v>
      </c>
      <c r="L167" s="67">
        <f t="shared" si="195"/>
        <v>376.39926316105118</v>
      </c>
      <c r="M167" s="67">
        <f t="shared" si="195"/>
        <v>395.21922631910371</v>
      </c>
      <c r="N167" s="67">
        <f t="shared" si="195"/>
        <v>414.98018763505894</v>
      </c>
      <c r="U167" s="1"/>
      <c r="V167" s="1"/>
      <c r="W167" s="1"/>
      <c r="X167" s="1"/>
      <c r="Y167" s="1"/>
    </row>
    <row r="168" spans="1:25" ht="22" customHeight="1">
      <c r="A168" s="67"/>
      <c r="B168" s="67" t="s">
        <v>109</v>
      </c>
      <c r="C168" s="77">
        <v>40.283999999999999</v>
      </c>
      <c r="D168" s="77">
        <v>68.489000000000004</v>
      </c>
      <c r="E168" s="77">
        <v>49.311999999999998</v>
      </c>
      <c r="F168" s="77">
        <v>161.66900000000001</v>
      </c>
      <c r="G168" s="77">
        <v>265.88299999999998</v>
      </c>
      <c r="H168" s="177">
        <v>323.76400000000001</v>
      </c>
      <c r="I168" s="71">
        <f>H168*(1+I133)</f>
        <v>335.09573999999998</v>
      </c>
      <c r="J168" s="71">
        <f>I168*(1+J133)</f>
        <v>351.850527</v>
      </c>
      <c r="K168" s="71">
        <f>J168*(1+K133)</f>
        <v>369.44305335000001</v>
      </c>
      <c r="L168" s="71">
        <f t="shared" ref="L168:N168" si="196">K168*(1+L133)</f>
        <v>387.91520601750005</v>
      </c>
      <c r="M168" s="71">
        <f t="shared" si="196"/>
        <v>407.31096631837505</v>
      </c>
      <c r="N168" s="71">
        <f t="shared" si="196"/>
        <v>427.67651463429382</v>
      </c>
      <c r="U168" s="1"/>
      <c r="V168" s="1"/>
      <c r="W168" s="1"/>
      <c r="X168" s="1"/>
      <c r="Y168" s="1"/>
    </row>
    <row r="169" spans="1:25" ht="22" customHeight="1">
      <c r="A169" s="67"/>
      <c r="B169" s="64" t="s">
        <v>143</v>
      </c>
      <c r="C169" s="64">
        <f>(C168-127.152 )/127.152</f>
        <v>-0.68318233295583231</v>
      </c>
      <c r="D169" s="64">
        <f>(D167-C167)/C167</f>
        <v>1.1915548107094454</v>
      </c>
      <c r="E169" s="64">
        <f t="shared" ref="E169:N169" si="197">(E167-D167)/D167</f>
        <v>-0.22604872781672261</v>
      </c>
      <c r="F169" s="64">
        <f t="shared" si="197"/>
        <v>2.2515941402632582</v>
      </c>
      <c r="G169" s="64">
        <f t="shared" si="197"/>
        <v>0.59892674302423055</v>
      </c>
      <c r="H169" s="64">
        <f t="shared" si="197"/>
        <v>0.23594019959855492</v>
      </c>
      <c r="I169" s="64">
        <f t="shared" si="197"/>
        <v>3.2484905065237379E-2</v>
      </c>
      <c r="J169" s="64">
        <f>(J167-I167)/I167</f>
        <v>5.1606141088512227E-2</v>
      </c>
      <c r="K169" s="64">
        <f>(K167-J167)/J167</f>
        <v>5.0000000000000114E-2</v>
      </c>
      <c r="L169" s="64">
        <f t="shared" si="197"/>
        <v>5.0000000000000176E-2</v>
      </c>
      <c r="M169" s="64">
        <f t="shared" si="197"/>
        <v>4.9999999999999926E-2</v>
      </c>
      <c r="N169" s="64">
        <f t="shared" si="197"/>
        <v>5.0000000000000107E-2</v>
      </c>
      <c r="U169" s="1"/>
      <c r="V169" s="1"/>
      <c r="W169" s="1"/>
    </row>
    <row r="170" spans="1:25" ht="22" customHeight="1">
      <c r="A170" s="67"/>
      <c r="B170" s="64"/>
      <c r="C170" s="190"/>
      <c r="D170" s="64"/>
      <c r="E170" s="64"/>
      <c r="F170" s="99"/>
      <c r="G170" s="99"/>
      <c r="H170" s="99"/>
      <c r="I170" s="67"/>
      <c r="J170" s="67"/>
      <c r="K170" s="67"/>
      <c r="L170" s="174"/>
      <c r="M170" s="66"/>
      <c r="N170" s="66"/>
      <c r="U170" s="1"/>
      <c r="V170" s="1"/>
      <c r="W170" s="1"/>
    </row>
    <row r="171" spans="1:25" ht="22" customHeight="1">
      <c r="A171" s="101" t="s">
        <v>110</v>
      </c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2"/>
      <c r="M171" s="62"/>
      <c r="N171" s="89"/>
      <c r="U171" s="1"/>
      <c r="V171" s="1"/>
      <c r="W171" s="1"/>
    </row>
    <row r="172" spans="1:25" ht="22" customHeight="1">
      <c r="A172" s="101"/>
      <c r="B172" s="101" t="s">
        <v>149</v>
      </c>
      <c r="C172" s="67">
        <f>C173-C155</f>
        <v>10.115099318870175</v>
      </c>
      <c r="D172" s="67">
        <f t="shared" ref="D172:N172" si="198">D173-D155</f>
        <v>16.443309373195866</v>
      </c>
      <c r="E172" s="67">
        <f t="shared" si="198"/>
        <v>13.388585629601259</v>
      </c>
      <c r="F172" s="67">
        <f t="shared" si="198"/>
        <v>26.519098306099458</v>
      </c>
      <c r="G172" s="67">
        <f t="shared" si="198"/>
        <v>40.193575498013118</v>
      </c>
      <c r="H172" s="67">
        <f t="shared" si="198"/>
        <v>38.438780600765213</v>
      </c>
      <c r="I172" s="67">
        <f t="shared" si="198"/>
        <v>39.687460739404564</v>
      </c>
      <c r="J172" s="67">
        <f t="shared" si="198"/>
        <v>41.73557743776707</v>
      </c>
      <c r="K172" s="67">
        <f t="shared" si="198"/>
        <v>43.822356309655426</v>
      </c>
      <c r="L172" s="67">
        <f t="shared" si="198"/>
        <v>46.013474125138195</v>
      </c>
      <c r="M172" s="67">
        <f t="shared" si="198"/>
        <v>48.314147831395104</v>
      </c>
      <c r="N172" s="67">
        <f t="shared" si="198"/>
        <v>50.729855222964865</v>
      </c>
      <c r="U172" s="1"/>
      <c r="V172" s="1"/>
      <c r="W172" s="1"/>
    </row>
    <row r="173" spans="1:25" ht="22" customHeight="1">
      <c r="A173" s="54"/>
      <c r="B173" s="101" t="s">
        <v>156</v>
      </c>
      <c r="C173" s="71">
        <v>14.124000000000001</v>
      </c>
      <c r="D173" s="178">
        <v>17.812000000000001</v>
      </c>
      <c r="E173" s="178">
        <v>13.492000000000001</v>
      </c>
      <c r="F173" s="178">
        <v>26.945</v>
      </c>
      <c r="G173" s="178">
        <v>42.006</v>
      </c>
      <c r="H173" s="71">
        <v>39.579000000000001</v>
      </c>
      <c r="I173" s="71">
        <f>H173*(1+I133)</f>
        <v>40.964264999999997</v>
      </c>
      <c r="J173" s="71">
        <f>I173*(1+J133)</f>
        <v>43.012478250000001</v>
      </c>
      <c r="K173" s="71">
        <f>J173*(1+K133)</f>
        <v>45.163102162500003</v>
      </c>
      <c r="L173" s="71">
        <f t="shared" ref="L173:N173" si="199">K173*(1+L133)</f>
        <v>47.421257270625006</v>
      </c>
      <c r="M173" s="71">
        <f t="shared" si="199"/>
        <v>49.792320134156256</v>
      </c>
      <c r="N173" s="71">
        <f t="shared" si="199"/>
        <v>52.281936140864069</v>
      </c>
    </row>
    <row r="174" spans="1:25" ht="22" customHeight="1">
      <c r="A174" s="57"/>
      <c r="B174" s="101" t="s">
        <v>148</v>
      </c>
      <c r="C174" s="164">
        <f>(C173-26.158)/26.158</f>
        <v>-0.46005046257359128</v>
      </c>
      <c r="D174" s="164">
        <f>(D172-C172)/C172</f>
        <v>0.62562016000378051</v>
      </c>
      <c r="E174" s="164">
        <f t="shared" ref="E174:N174" si="200">(E172-D172)/D172</f>
        <v>-0.18577305056207802</v>
      </c>
      <c r="F174" s="164">
        <f t="shared" si="200"/>
        <v>0.98072440508335113</v>
      </c>
      <c r="G174" s="164">
        <f t="shared" si="200"/>
        <v>0.51564638563779885</v>
      </c>
      <c r="H174" s="164">
        <f t="shared" si="200"/>
        <v>-4.3658591590953366E-2</v>
      </c>
      <c r="I174" s="164">
        <f t="shared" si="200"/>
        <v>3.2484905065237504E-2</v>
      </c>
      <c r="J174" s="164">
        <f>(J172-I172)/I172</f>
        <v>5.1606141088512331E-2</v>
      </c>
      <c r="K174" s="164">
        <f>(K172-J172)/J172</f>
        <v>5.0000000000000058E-2</v>
      </c>
      <c r="L174" s="164">
        <f t="shared" si="200"/>
        <v>4.9999999999999961E-2</v>
      </c>
      <c r="M174" s="164">
        <f t="shared" si="200"/>
        <v>4.9999999999999975E-2</v>
      </c>
      <c r="N174" s="164">
        <f t="shared" si="200"/>
        <v>5.0000000000000121E-2</v>
      </c>
      <c r="O174" s="54"/>
    </row>
    <row r="175" spans="1:25" ht="22" customHeight="1">
      <c r="A175" s="67"/>
      <c r="B175" s="54"/>
      <c r="C175" s="54"/>
      <c r="D175" s="86"/>
      <c r="E175" s="86"/>
      <c r="F175" s="86"/>
      <c r="G175" s="54"/>
      <c r="H175" s="54"/>
      <c r="I175" s="54"/>
      <c r="J175" s="54"/>
      <c r="K175" s="66"/>
      <c r="L175" s="65"/>
      <c r="M175" s="65"/>
      <c r="N175" s="65"/>
      <c r="O175" s="54"/>
    </row>
    <row r="176" spans="1:25" ht="22" customHeight="1">
      <c r="A176" s="67"/>
      <c r="B176" s="54" t="s">
        <v>111</v>
      </c>
      <c r="C176" s="71">
        <f t="shared" ref="C176:I176" si="201">C146+C163+C168+C173</f>
        <v>656.70300000000009</v>
      </c>
      <c r="D176" s="71">
        <f t="shared" si="201"/>
        <v>1210.761</v>
      </c>
      <c r="E176" s="71">
        <f t="shared" si="201"/>
        <v>673.59299999999996</v>
      </c>
      <c r="F176" s="71">
        <f t="shared" si="201"/>
        <v>3153.6089999999999</v>
      </c>
      <c r="G176" s="71">
        <f t="shared" si="201"/>
        <v>4022.3839999999996</v>
      </c>
      <c r="H176" s="71">
        <f t="shared" si="201"/>
        <v>4461.7429999999995</v>
      </c>
      <c r="I176" s="71">
        <f t="shared" si="201"/>
        <v>4268.2451249999995</v>
      </c>
      <c r="J176" s="71">
        <f t="shared" ref="J176:N176" si="202">J146+J163+J168+J173</f>
        <v>4705.3844302499983</v>
      </c>
      <c r="K176" s="71">
        <f t="shared" si="202"/>
        <v>4940.6536517624991</v>
      </c>
      <c r="L176" s="71">
        <f t="shared" si="202"/>
        <v>5187.6863343506247</v>
      </c>
      <c r="M176" s="71">
        <f t="shared" si="202"/>
        <v>5447.0706510681557</v>
      </c>
      <c r="N176" s="71">
        <f t="shared" si="202"/>
        <v>5719.4241836215642</v>
      </c>
      <c r="O176" s="54"/>
    </row>
    <row r="177" spans="1:16" ht="22" customHeight="1">
      <c r="A177" s="67"/>
      <c r="B177" s="62" t="s">
        <v>112</v>
      </c>
      <c r="C177" s="72">
        <f t="shared" ref="C177:N177" si="203">C176/C198</f>
        <v>0.13810668782612132</v>
      </c>
      <c r="D177" s="72">
        <f t="shared" si="203"/>
        <v>0.1328440413681963</v>
      </c>
      <c r="E177" s="72">
        <f t="shared" si="203"/>
        <v>5.4011670717880468E-2</v>
      </c>
      <c r="F177" s="72">
        <f t="shared" si="203"/>
        <v>0.19681327275178387</v>
      </c>
      <c r="G177" s="72">
        <f t="shared" si="203"/>
        <v>0.23550067392741666</v>
      </c>
      <c r="H177" s="72">
        <f t="shared" si="203"/>
        <v>0.25799946470412016</v>
      </c>
      <c r="I177" s="72">
        <f t="shared" si="203"/>
        <v>0.24937064439546952</v>
      </c>
      <c r="J177" s="72">
        <f t="shared" si="203"/>
        <v>0.25996914003985244</v>
      </c>
      <c r="K177" s="72">
        <f t="shared" si="203"/>
        <v>0.26271625649576785</v>
      </c>
      <c r="L177" s="72">
        <f t="shared" si="203"/>
        <v>0.26479453351912385</v>
      </c>
      <c r="M177" s="72">
        <f t="shared" si="203"/>
        <v>0.26740715429697626</v>
      </c>
      <c r="N177" s="72">
        <f t="shared" si="203"/>
        <v>0.26994388521029183</v>
      </c>
      <c r="O177" s="54"/>
    </row>
    <row r="178" spans="1:16" ht="22" customHeight="1">
      <c r="A178" s="67"/>
      <c r="B178" s="62" t="s">
        <v>113</v>
      </c>
      <c r="C178" s="64">
        <f t="shared" ref="C178:G178" si="204">C179/C176</f>
        <v>-0.69920185352034236</v>
      </c>
      <c r="D178" s="64">
        <f t="shared" si="204"/>
        <v>-0.19670666486358912</v>
      </c>
      <c r="E178" s="64">
        <f t="shared" si="204"/>
        <v>-0.54836062409654796</v>
      </c>
      <c r="F178" s="64">
        <f t="shared" si="204"/>
        <v>8.280723318262756E-2</v>
      </c>
      <c r="G178" s="64">
        <f t="shared" si="204"/>
        <v>8.9406717790848703E-2</v>
      </c>
      <c r="H178" s="64">
        <f>H179/H176</f>
        <v>8.0223448938189862E-2</v>
      </c>
      <c r="I178" s="185">
        <f>AVERAGE(F178:H178)</f>
        <v>8.4145799970555379E-2</v>
      </c>
      <c r="J178" s="72">
        <f>$I$178</f>
        <v>8.4145799970555379E-2</v>
      </c>
      <c r="K178" s="72">
        <f>$I$178</f>
        <v>8.4145799970555379E-2</v>
      </c>
      <c r="L178" s="72">
        <f>$I$178</f>
        <v>8.4145799970555379E-2</v>
      </c>
      <c r="M178" s="72">
        <f>$I$178</f>
        <v>8.4145799970555379E-2</v>
      </c>
      <c r="N178" s="72">
        <f>$I$178</f>
        <v>8.4145799970555379E-2</v>
      </c>
      <c r="O178" s="54"/>
    </row>
    <row r="179" spans="1:16" ht="22" customHeight="1">
      <c r="A179" s="70"/>
      <c r="B179" s="62" t="s">
        <v>114</v>
      </c>
      <c r="C179" s="71">
        <f>-193.832-(1210.556*C177)-(710.683*C177)</f>
        <v>-459.16795481236949</v>
      </c>
      <c r="D179" s="71">
        <f>25.367-(1150.61*D177)-(833.158*D177)</f>
        <v>-238.16475825690401</v>
      </c>
      <c r="E179" s="71">
        <f>-203.136-(814.128*E177)-(2263.649*E177)</f>
        <v>-369.37187786706602</v>
      </c>
      <c r="F179" s="71">
        <f>866.889-(814.128*F177)-(2263.649*F177)</f>
        <v>261.14163582983292</v>
      </c>
      <c r="G179" s="186">
        <f>1087.126-(831.097*G177)-(2258.057*G177)</f>
        <v>359.62815113442514</v>
      </c>
      <c r="H179" s="187">
        <f>1203.194-(1017.794*H177)-(2258.405*H177)</f>
        <v>357.93641173582603</v>
      </c>
      <c r="I179" s="186">
        <f>I176*I178</f>
        <v>359.15490051354811</v>
      </c>
      <c r="J179" s="186">
        <f>J176*J178</f>
        <v>395.93833705238205</v>
      </c>
      <c r="K179" s="186">
        <f t="shared" ref="K179:N179" si="205">K176*K178</f>
        <v>415.73525390500123</v>
      </c>
      <c r="L179" s="186">
        <f t="shared" si="205"/>
        <v>436.52201660025133</v>
      </c>
      <c r="M179" s="186">
        <f t="shared" si="205"/>
        <v>458.34811743026387</v>
      </c>
      <c r="N179" s="186">
        <f t="shared" si="205"/>
        <v>481.26552330177714</v>
      </c>
      <c r="O179" s="54"/>
    </row>
    <row r="180" spans="1:16" ht="22" customHeight="1">
      <c r="A180" s="179"/>
      <c r="B180" s="1"/>
      <c r="C180" s="1"/>
      <c r="D180" s="1"/>
      <c r="E180" s="1"/>
      <c r="F180" s="1"/>
      <c r="G180" s="1"/>
      <c r="H180" s="1"/>
      <c r="I180" s="1"/>
      <c r="J180" s="54"/>
      <c r="K180" s="54"/>
      <c r="L180" s="54"/>
      <c r="M180" s="54"/>
      <c r="N180" s="54"/>
      <c r="O180" s="72"/>
    </row>
    <row r="181" spans="1:16" ht="22" customHeight="1">
      <c r="A181" s="61" t="s">
        <v>126</v>
      </c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  <c r="L181" s="179"/>
      <c r="M181" s="179"/>
      <c r="N181" s="179"/>
      <c r="O181" s="54"/>
    </row>
    <row r="182" spans="1:16" ht="22" customHeight="1">
      <c r="A182" s="179"/>
      <c r="B182" s="62" t="s">
        <v>120</v>
      </c>
      <c r="C182" s="157" t="s">
        <v>90</v>
      </c>
      <c r="D182" s="157" t="s">
        <v>90</v>
      </c>
      <c r="E182" s="157" t="s">
        <v>90</v>
      </c>
      <c r="F182" s="157" t="s">
        <v>90</v>
      </c>
      <c r="G182" s="157" t="s">
        <v>90</v>
      </c>
      <c r="H182" s="157" t="s">
        <v>90</v>
      </c>
      <c r="I182" s="193">
        <v>6.5000000000000002E-2</v>
      </c>
      <c r="J182" s="151">
        <f>$I$182</f>
        <v>6.5000000000000002E-2</v>
      </c>
      <c r="K182" s="151">
        <f t="shared" ref="K182:N182" si="206">$I$182</f>
        <v>6.5000000000000002E-2</v>
      </c>
      <c r="L182" s="151">
        <f t="shared" si="206"/>
        <v>6.5000000000000002E-2</v>
      </c>
      <c r="M182" s="151">
        <f t="shared" si="206"/>
        <v>6.5000000000000002E-2</v>
      </c>
      <c r="N182" s="151">
        <f t="shared" si="206"/>
        <v>6.5000000000000002E-2</v>
      </c>
      <c r="O182" s="54"/>
      <c r="P182" s="194" t="s">
        <v>157</v>
      </c>
    </row>
    <row r="183" spans="1:16" ht="22" customHeight="1">
      <c r="A183" s="179"/>
      <c r="B183" s="54" t="s">
        <v>121</v>
      </c>
      <c r="C183" s="157" t="s">
        <v>90</v>
      </c>
      <c r="D183" s="157" t="s">
        <v>90</v>
      </c>
      <c r="E183" s="157" t="s">
        <v>90</v>
      </c>
      <c r="F183" s="157" t="s">
        <v>90</v>
      </c>
      <c r="G183" s="157" t="s">
        <v>90</v>
      </c>
      <c r="H183" s="157" t="s">
        <v>90</v>
      </c>
      <c r="I183" s="185">
        <v>0.03</v>
      </c>
      <c r="J183" s="72">
        <f>$I$183</f>
        <v>0.03</v>
      </c>
      <c r="K183" s="72">
        <f t="shared" ref="K183:N183" si="207">$I$183</f>
        <v>0.03</v>
      </c>
      <c r="L183" s="72">
        <f t="shared" si="207"/>
        <v>0.03</v>
      </c>
      <c r="M183" s="72">
        <f t="shared" si="207"/>
        <v>0.03</v>
      </c>
      <c r="N183" s="72">
        <f t="shared" si="207"/>
        <v>0.03</v>
      </c>
      <c r="O183" s="54"/>
      <c r="P183" s="7" t="s">
        <v>158</v>
      </c>
    </row>
    <row r="184" spans="1:16" ht="22" customHeight="1">
      <c r="A184" s="179"/>
      <c r="B184" s="54" t="s">
        <v>122</v>
      </c>
      <c r="C184" s="157" t="s">
        <v>90</v>
      </c>
      <c r="D184" s="157" t="s">
        <v>90</v>
      </c>
      <c r="E184" s="157" t="s">
        <v>90</v>
      </c>
      <c r="F184" s="157" t="s">
        <v>90</v>
      </c>
      <c r="G184" s="157" t="s">
        <v>90</v>
      </c>
      <c r="H184" s="157" t="s">
        <v>90</v>
      </c>
      <c r="I184" s="185">
        <v>0.02</v>
      </c>
      <c r="J184" s="72">
        <f>$I$184</f>
        <v>0.02</v>
      </c>
      <c r="K184" s="72">
        <f t="shared" ref="K184:N184" si="208">$I$184</f>
        <v>0.02</v>
      </c>
      <c r="L184" s="72">
        <f t="shared" si="208"/>
        <v>0.02</v>
      </c>
      <c r="M184" s="72">
        <f t="shared" si="208"/>
        <v>0.02</v>
      </c>
      <c r="N184" s="72">
        <f t="shared" si="208"/>
        <v>0.02</v>
      </c>
      <c r="O184" s="54"/>
      <c r="P184" s="7" t="s">
        <v>159</v>
      </c>
    </row>
    <row r="185" spans="1:16" ht="22" customHeight="1">
      <c r="A185" s="179"/>
      <c r="B185" s="54" t="s">
        <v>91</v>
      </c>
      <c r="C185" s="157" t="s">
        <v>90</v>
      </c>
      <c r="D185" s="157" t="s">
        <v>90</v>
      </c>
      <c r="E185" s="157" t="s">
        <v>90</v>
      </c>
      <c r="F185" s="72">
        <f>F188</f>
        <v>0</v>
      </c>
      <c r="G185" s="72">
        <f t="shared" ref="G185:H185" si="209">G188</f>
        <v>0.27737385050422758</v>
      </c>
      <c r="H185" s="72">
        <f t="shared" si="209"/>
        <v>0.18510104852793077</v>
      </c>
      <c r="I185" s="72">
        <f>SUM(I182:I184)</f>
        <v>0.115</v>
      </c>
      <c r="J185" s="72">
        <f t="shared" ref="J185:N185" si="210">SUM(J182:J184)</f>
        <v>0.115</v>
      </c>
      <c r="K185" s="72">
        <f t="shared" si="210"/>
        <v>0.115</v>
      </c>
      <c r="L185" s="72">
        <f t="shared" si="210"/>
        <v>0.115</v>
      </c>
      <c r="M185" s="72">
        <f t="shared" si="210"/>
        <v>0.115</v>
      </c>
      <c r="N185" s="72">
        <f t="shared" si="210"/>
        <v>0.115</v>
      </c>
      <c r="O185" s="54"/>
    </row>
    <row r="186" spans="1:16" ht="22" customHeight="1">
      <c r="A186" s="179"/>
      <c r="B186" s="179"/>
      <c r="C186" s="157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</row>
    <row r="187" spans="1:16" ht="22" customHeight="1">
      <c r="A187" s="179"/>
      <c r="B187" s="62" t="s">
        <v>123</v>
      </c>
      <c r="C187" s="77">
        <v>0</v>
      </c>
      <c r="D187" s="77">
        <v>0</v>
      </c>
      <c r="E187" s="77">
        <v>0</v>
      </c>
      <c r="F187" s="77">
        <v>432.14600000000002</v>
      </c>
      <c r="G187" s="77">
        <v>552.01199999999994</v>
      </c>
      <c r="H187" s="192">
        <v>654.19000000000005</v>
      </c>
      <c r="I187" s="76">
        <f>H187*(1+I185)</f>
        <v>729.42185000000006</v>
      </c>
      <c r="J187" s="76">
        <f t="shared" ref="J187:N187" si="211">I187*(1+J185)</f>
        <v>813.30536275000009</v>
      </c>
      <c r="K187" s="76">
        <f t="shared" si="211"/>
        <v>906.83547946625004</v>
      </c>
      <c r="L187" s="76">
        <f t="shared" si="211"/>
        <v>1011.1215596048688</v>
      </c>
      <c r="M187" s="76">
        <f t="shared" si="211"/>
        <v>1127.4005389594288</v>
      </c>
      <c r="N187" s="76">
        <f t="shared" si="211"/>
        <v>1257.0516009397631</v>
      </c>
      <c r="O187" s="54"/>
    </row>
    <row r="188" spans="1:16" ht="22" customHeight="1">
      <c r="A188" s="179"/>
      <c r="B188" s="62" t="s">
        <v>124</v>
      </c>
      <c r="C188" s="72">
        <v>0</v>
      </c>
      <c r="D188" s="72">
        <v>0</v>
      </c>
      <c r="E188" s="72">
        <v>0</v>
      </c>
      <c r="F188" s="72">
        <f>(F187-F187)/F187</f>
        <v>0</v>
      </c>
      <c r="G188" s="72">
        <f>(G187-F187)/F187</f>
        <v>0.27737385050422758</v>
      </c>
      <c r="H188" s="72">
        <f t="shared" ref="H188:N188" si="212">(H187-G187)/G187</f>
        <v>0.18510104852793077</v>
      </c>
      <c r="I188" s="72">
        <f t="shared" si="212"/>
        <v>0.115</v>
      </c>
      <c r="J188" s="72">
        <f>(J187-I187)/I187</f>
        <v>0.11500000000000002</v>
      </c>
      <c r="K188" s="72">
        <f>(K187-J187)/J187</f>
        <v>0.11499999999999992</v>
      </c>
      <c r="L188" s="72">
        <f t="shared" si="212"/>
        <v>0.11500000000000003</v>
      </c>
      <c r="M188" s="72">
        <f t="shared" si="212"/>
        <v>0.11500000000000005</v>
      </c>
      <c r="N188" s="72">
        <f t="shared" si="212"/>
        <v>0.11500000000000005</v>
      </c>
    </row>
    <row r="189" spans="1:16" ht="22" customHeight="1">
      <c r="A189" s="179"/>
      <c r="B189" s="179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</row>
    <row r="190" spans="1:16" ht="22" customHeight="1">
      <c r="A190" s="179"/>
      <c r="B190" s="54" t="s">
        <v>111</v>
      </c>
      <c r="C190" s="54">
        <v>0</v>
      </c>
      <c r="D190" s="54">
        <v>0</v>
      </c>
      <c r="E190" s="54">
        <v>0</v>
      </c>
      <c r="F190" s="54">
        <f>F187</f>
        <v>432.14600000000002</v>
      </c>
      <c r="G190" s="54">
        <f t="shared" ref="G190:N190" si="213">G187</f>
        <v>552.01199999999994</v>
      </c>
      <c r="H190" s="54">
        <f t="shared" si="213"/>
        <v>654.19000000000005</v>
      </c>
      <c r="I190" s="54">
        <f t="shared" si="213"/>
        <v>729.42185000000006</v>
      </c>
      <c r="J190" s="54">
        <f t="shared" si="213"/>
        <v>813.30536275000009</v>
      </c>
      <c r="K190" s="54">
        <f t="shared" si="213"/>
        <v>906.83547946625004</v>
      </c>
      <c r="L190" s="54">
        <f t="shared" si="213"/>
        <v>1011.1215596048688</v>
      </c>
      <c r="M190" s="54">
        <f t="shared" si="213"/>
        <v>1127.4005389594288</v>
      </c>
      <c r="N190" s="54">
        <f t="shared" si="213"/>
        <v>1257.0516009397631</v>
      </c>
    </row>
    <row r="191" spans="1:16" ht="22" customHeight="1">
      <c r="A191" s="179"/>
      <c r="B191" s="62" t="s">
        <v>112</v>
      </c>
      <c r="C191" s="188">
        <f t="shared" ref="C191:N191" si="214">C190/C198</f>
        <v>0</v>
      </c>
      <c r="D191" s="188">
        <f t="shared" si="214"/>
        <v>0</v>
      </c>
      <c r="E191" s="188">
        <f t="shared" si="214"/>
        <v>0</v>
      </c>
      <c r="F191" s="180">
        <f t="shared" si="214"/>
        <v>2.6969757051870536E-2</v>
      </c>
      <c r="G191" s="180">
        <f t="shared" si="214"/>
        <v>3.2318942700652428E-2</v>
      </c>
      <c r="H191" s="180">
        <f t="shared" si="214"/>
        <v>3.7828415893696343E-2</v>
      </c>
      <c r="I191" s="180">
        <f t="shared" si="214"/>
        <v>4.2616202079217638E-2</v>
      </c>
      <c r="J191" s="180">
        <f t="shared" si="214"/>
        <v>4.4934542305331726E-2</v>
      </c>
      <c r="K191" s="180">
        <f t="shared" si="214"/>
        <v>4.8220425719971184E-2</v>
      </c>
      <c r="L191" s="180">
        <f t="shared" si="214"/>
        <v>5.1610572507795015E-2</v>
      </c>
      <c r="M191" s="180">
        <f t="shared" si="214"/>
        <v>5.5346256582315435E-2</v>
      </c>
      <c r="N191" s="180">
        <f t="shared" si="214"/>
        <v>5.9329992351193232E-2</v>
      </c>
    </row>
    <row r="192" spans="1:16" ht="22" customHeight="1">
      <c r="A192" s="179"/>
      <c r="B192" s="62" t="s">
        <v>113</v>
      </c>
      <c r="C192" s="188">
        <v>0</v>
      </c>
      <c r="D192" s="188">
        <v>0</v>
      </c>
      <c r="E192" s="188">
        <v>0</v>
      </c>
      <c r="F192" s="72">
        <f t="shared" ref="F192:G192" si="215">F193/F190</f>
        <v>-0.26711087907752223</v>
      </c>
      <c r="G192" s="72">
        <f t="shared" si="215"/>
        <v>-0.32076330065196279</v>
      </c>
      <c r="H192" s="72">
        <f>H193/H190</f>
        <v>-0.32748959525904103</v>
      </c>
      <c r="I192" s="185">
        <f>-15%</f>
        <v>-0.15</v>
      </c>
      <c r="J192" s="185">
        <f>-9%</f>
        <v>-0.09</v>
      </c>
      <c r="K192" s="185">
        <f>-6%</f>
        <v>-0.06</v>
      </c>
      <c r="L192" s="185">
        <v>-0.03</v>
      </c>
      <c r="M192" s="185">
        <v>0.03</v>
      </c>
      <c r="N192" s="185">
        <v>0.04</v>
      </c>
    </row>
    <row r="193" spans="1:16" ht="22" customHeight="1">
      <c r="A193" s="179"/>
      <c r="B193" s="62" t="s">
        <v>114</v>
      </c>
      <c r="C193" s="54">
        <v>0</v>
      </c>
      <c r="D193" s="54">
        <v>0</v>
      </c>
      <c r="E193" s="54">
        <v>0</v>
      </c>
      <c r="F193" s="88">
        <f>-32.424-(814.128*F191)-(2263.649*F191)</f>
        <v>-115.43089794983493</v>
      </c>
      <c r="G193" s="88">
        <f>-77.227-(831.097*G191)-(2258.057*G191)</f>
        <v>-177.06519111949126</v>
      </c>
      <c r="H193" s="88">
        <f>-90.307-(1017.794*H191)-(2258.405*H191)</f>
        <v>-214.24041832251208</v>
      </c>
      <c r="I193" s="88">
        <f>I190*I192</f>
        <v>-109.41327750000001</v>
      </c>
      <c r="J193" s="88">
        <f t="shared" ref="J193:N193" si="216">J190*J192</f>
        <v>-73.19748264750001</v>
      </c>
      <c r="K193" s="88">
        <f t="shared" si="216"/>
        <v>-54.410128767975003</v>
      </c>
      <c r="L193" s="88">
        <f t="shared" si="216"/>
        <v>-30.333646788146062</v>
      </c>
      <c r="M193" s="88">
        <f t="shared" si="216"/>
        <v>33.822016168782859</v>
      </c>
      <c r="N193" s="88">
        <f t="shared" si="216"/>
        <v>50.28206403759053</v>
      </c>
    </row>
    <row r="194" spans="1:16" ht="22" customHeight="1">
      <c r="A194" s="179"/>
      <c r="B194" s="179"/>
      <c r="C194" s="64"/>
      <c r="D194" s="64"/>
      <c r="E194" s="64"/>
      <c r="F194" s="88"/>
      <c r="G194" s="88"/>
      <c r="H194" s="88"/>
      <c r="I194" s="54"/>
      <c r="J194" s="54"/>
      <c r="K194" s="54"/>
      <c r="L194" s="54"/>
      <c r="M194" s="54"/>
      <c r="N194" s="54"/>
    </row>
    <row r="195" spans="1:16" ht="22" customHeight="1">
      <c r="A195" s="179"/>
      <c r="C195" s="67"/>
      <c r="D195" s="87"/>
      <c r="E195" s="87"/>
      <c r="F195" s="87"/>
      <c r="G195" s="182"/>
      <c r="H195" s="87"/>
      <c r="I195" s="87"/>
      <c r="J195" s="87"/>
      <c r="K195" s="54"/>
      <c r="L195" s="179"/>
      <c r="M195" s="179"/>
      <c r="N195" s="179"/>
    </row>
    <row r="196" spans="1:16" ht="22" customHeight="1">
      <c r="A196" s="179"/>
      <c r="B196" s="67" t="s">
        <v>10</v>
      </c>
      <c r="C196" s="77">
        <v>896</v>
      </c>
      <c r="D196" s="77">
        <v>-123.02200000000001</v>
      </c>
      <c r="E196" s="71">
        <v>1769.67</v>
      </c>
      <c r="F196" s="77">
        <v>-189</v>
      </c>
      <c r="G196" s="177">
        <v>-680</v>
      </c>
      <c r="H196" s="77">
        <v>-856</v>
      </c>
      <c r="I196" s="197">
        <f>AVERAGE(G196:H196)</f>
        <v>-768</v>
      </c>
      <c r="J196" s="77">
        <f>$I$196</f>
        <v>-768</v>
      </c>
      <c r="K196" s="77">
        <f t="shared" ref="K196:N196" si="217">$I$196</f>
        <v>-768</v>
      </c>
      <c r="L196" s="77">
        <f t="shared" si="217"/>
        <v>-768</v>
      </c>
      <c r="M196" s="77">
        <f t="shared" si="217"/>
        <v>-768</v>
      </c>
      <c r="N196" s="77">
        <f t="shared" si="217"/>
        <v>-768</v>
      </c>
    </row>
    <row r="197" spans="1:16" ht="22" customHeight="1">
      <c r="A197" s="179"/>
      <c r="B197" s="67"/>
      <c r="C197" s="67"/>
      <c r="D197" s="67"/>
      <c r="E197" s="67"/>
      <c r="F197" s="67"/>
      <c r="G197" s="67"/>
      <c r="H197" s="67"/>
      <c r="I197" s="67"/>
      <c r="J197" s="67"/>
      <c r="K197" s="54"/>
      <c r="L197" s="54"/>
      <c r="M197" s="54"/>
      <c r="N197" s="54"/>
      <c r="O197" s="183"/>
    </row>
    <row r="198" spans="1:16" ht="22" customHeight="1">
      <c r="A198" s="179"/>
      <c r="B198" s="70" t="s">
        <v>5</v>
      </c>
      <c r="C198" s="71">
        <f t="shared" ref="C198:N198" si="218">C67+C125+C176+C190</f>
        <v>4755.0412679999999</v>
      </c>
      <c r="D198" s="71">
        <f t="shared" si="218"/>
        <v>9114.1536159999996</v>
      </c>
      <c r="E198" s="71">
        <f t="shared" si="218"/>
        <v>12471.249103150001</v>
      </c>
      <c r="F198" s="71">
        <f t="shared" si="218"/>
        <v>16023.35531495</v>
      </c>
      <c r="G198" s="71">
        <f t="shared" si="218"/>
        <v>17080.137958499996</v>
      </c>
      <c r="H198" s="71">
        <f t="shared" si="218"/>
        <v>17293.613399999998</v>
      </c>
      <c r="I198" s="71">
        <f t="shared" si="218"/>
        <v>17116.068875497294</v>
      </c>
      <c r="J198" s="71">
        <f t="shared" si="218"/>
        <v>18099.78072600724</v>
      </c>
      <c r="K198" s="71">
        <f t="shared" si="218"/>
        <v>18806.044656936137</v>
      </c>
      <c r="L198" s="71">
        <f t="shared" si="218"/>
        <v>19591.364917569048</v>
      </c>
      <c r="M198" s="71">
        <f t="shared" si="218"/>
        <v>20369.951078491955</v>
      </c>
      <c r="N198" s="71">
        <f t="shared" si="218"/>
        <v>21187.455975029829</v>
      </c>
      <c r="P198" s="7" t="s">
        <v>161</v>
      </c>
    </row>
    <row r="199" spans="1:16" ht="22" customHeight="1">
      <c r="A199" s="179"/>
      <c r="B199" s="70" t="s">
        <v>13</v>
      </c>
      <c r="C199" s="165">
        <f>C70+C128+C179+C193+C196</f>
        <v>-642.89300000000026</v>
      </c>
      <c r="D199" s="165">
        <f>D70+D128+D179+D193+D196</f>
        <v>2278.6990000000001</v>
      </c>
      <c r="E199" s="165">
        <f>E70+E128+E179+E193+E196</f>
        <v>1439.3692379059564</v>
      </c>
      <c r="F199" s="165">
        <f t="shared" ref="F199:N199" si="219">F70+F128+F179+F193+F196</f>
        <v>1891.37</v>
      </c>
      <c r="G199" s="165">
        <f t="shared" si="219"/>
        <v>1490.8440000000001</v>
      </c>
      <c r="H199" s="165">
        <f>H70+H128+H179+H193+H196</f>
        <v>1001.7879999999996</v>
      </c>
      <c r="I199" s="165">
        <f t="shared" si="219"/>
        <v>1315.643564782632</v>
      </c>
      <c r="J199" s="165">
        <f t="shared" si="219"/>
        <v>1456.8326824911055</v>
      </c>
      <c r="K199" s="165">
        <f t="shared" si="219"/>
        <v>1552.4849671007428</v>
      </c>
      <c r="L199" s="165">
        <f t="shared" si="219"/>
        <v>1663.5903322379118</v>
      </c>
      <c r="M199" s="165">
        <f t="shared" si="219"/>
        <v>1810.5233191692237</v>
      </c>
      <c r="N199" s="165">
        <f t="shared" si="219"/>
        <v>1912.7613625660329</v>
      </c>
    </row>
    <row r="200" spans="1:16" ht="22" customHeight="1">
      <c r="A200" s="179"/>
      <c r="B200" s="61" t="s">
        <v>35</v>
      </c>
      <c r="C200" s="54">
        <f>C199+104</f>
        <v>-538.89300000000026</v>
      </c>
      <c r="D200" s="54">
        <f>D199-1494</f>
        <v>784.69900000000007</v>
      </c>
      <c r="E200" s="54">
        <f>E199-1070</f>
        <v>369.36923790595642</v>
      </c>
      <c r="F200" s="54">
        <f>F199-399</f>
        <v>1492.37</v>
      </c>
      <c r="G200" s="54">
        <f>G199</f>
        <v>1490.8440000000001</v>
      </c>
      <c r="H200" s="54">
        <f>H199+279+93</f>
        <v>1373.7879999999996</v>
      </c>
      <c r="I200" s="54">
        <f t="shared" ref="I200:N200" si="220">I199</f>
        <v>1315.643564782632</v>
      </c>
      <c r="J200" s="54">
        <f t="shared" si="220"/>
        <v>1456.8326824911055</v>
      </c>
      <c r="K200" s="54">
        <f t="shared" si="220"/>
        <v>1552.4849671007428</v>
      </c>
      <c r="L200" s="54">
        <f t="shared" si="220"/>
        <v>1663.5903322379118</v>
      </c>
      <c r="M200" s="54">
        <f t="shared" si="220"/>
        <v>1810.5233191692237</v>
      </c>
      <c r="N200" s="54">
        <f t="shared" si="220"/>
        <v>1912.7613625660329</v>
      </c>
    </row>
    <row r="201" spans="1:16" ht="22" customHeight="1" thickBot="1">
      <c r="A201" s="179"/>
      <c r="B201" s="69" t="s">
        <v>125</v>
      </c>
      <c r="C201" s="72">
        <f t="shared" ref="C201:N201" si="221">C199/C198</f>
        <v>-0.13520240178071158</v>
      </c>
      <c r="D201" s="72">
        <f t="shared" si="221"/>
        <v>0.25001762050616727</v>
      </c>
      <c r="E201" s="72">
        <f t="shared" si="221"/>
        <v>0.11541500181745219</v>
      </c>
      <c r="F201" s="72">
        <f t="shared" si="221"/>
        <v>0.11803832361099344</v>
      </c>
      <c r="G201" s="72">
        <f t="shared" si="221"/>
        <v>8.7285243457771708E-2</v>
      </c>
      <c r="H201" s="72">
        <f>H199/H198</f>
        <v>5.7928206027781308E-2</v>
      </c>
      <c r="I201" s="72">
        <f t="shared" si="221"/>
        <v>7.686598916799503E-2</v>
      </c>
      <c r="J201" s="72">
        <f t="shared" si="221"/>
        <v>8.0488968598266472E-2</v>
      </c>
      <c r="K201" s="72">
        <f t="shared" si="221"/>
        <v>8.2552444994229437E-2</v>
      </c>
      <c r="L201" s="72">
        <f t="shared" si="221"/>
        <v>8.4914468146425337E-2</v>
      </c>
      <c r="M201" s="72">
        <f t="shared" si="221"/>
        <v>8.8882065165139412E-2</v>
      </c>
      <c r="N201" s="72">
        <f t="shared" si="221"/>
        <v>9.0278010008388462E-2</v>
      </c>
    </row>
    <row r="202" spans="1:16" ht="22" customHeight="1" thickBot="1">
      <c r="A202" s="179"/>
      <c r="B202" s="198" t="s">
        <v>160</v>
      </c>
      <c r="C202" s="199">
        <f>C200/C198</f>
        <v>-0.11333087761542436</v>
      </c>
      <c r="D202" s="199">
        <f t="shared" ref="D202:N202" si="222">D200/D198</f>
        <v>8.6096749414279361E-2</v>
      </c>
      <c r="E202" s="199">
        <f t="shared" si="222"/>
        <v>2.9617661779577538E-2</v>
      </c>
      <c r="F202" s="199">
        <f t="shared" si="222"/>
        <v>9.3137172000897911E-2</v>
      </c>
      <c r="G202" s="199">
        <f t="shared" si="222"/>
        <v>8.7285243457771708E-2</v>
      </c>
      <c r="H202" s="199">
        <f>H200/H198</f>
        <v>7.9439037303794452E-2</v>
      </c>
      <c r="I202" s="199">
        <f t="shared" si="222"/>
        <v>7.686598916799503E-2</v>
      </c>
      <c r="J202" s="199">
        <f t="shared" si="222"/>
        <v>8.0488968598266472E-2</v>
      </c>
      <c r="K202" s="199">
        <f t="shared" si="222"/>
        <v>8.2552444994229437E-2</v>
      </c>
      <c r="L202" s="199">
        <f t="shared" si="222"/>
        <v>8.4914468146425337E-2</v>
      </c>
      <c r="M202" s="199">
        <f t="shared" si="222"/>
        <v>8.8882065165139412E-2</v>
      </c>
      <c r="N202" s="200">
        <f t="shared" si="222"/>
        <v>9.0278010008388462E-2</v>
      </c>
    </row>
    <row r="203" spans="1:16" ht="22" customHeight="1">
      <c r="A203" s="179"/>
    </row>
    <row r="204" spans="1:16" ht="22" customHeight="1">
      <c r="A204" s="179"/>
      <c r="B204" s="195"/>
      <c r="C204" s="196"/>
      <c r="D204" s="196"/>
      <c r="E204" s="196">
        <v>1439372</v>
      </c>
      <c r="F204" s="196"/>
      <c r="G204" s="196"/>
      <c r="H204" s="204" t="s">
        <v>172</v>
      </c>
      <c r="I204" s="196"/>
      <c r="J204" s="196"/>
      <c r="K204" s="196"/>
      <c r="L204" s="196"/>
      <c r="M204" s="196"/>
      <c r="N204" s="196"/>
    </row>
    <row r="206" spans="1:16" ht="22" customHeight="1">
      <c r="D206" s="206"/>
      <c r="E206" s="205"/>
    </row>
    <row r="207" spans="1:16" ht="22" customHeight="1">
      <c r="A207" s="179"/>
      <c r="B207" s="54"/>
      <c r="C207" s="179"/>
      <c r="D207" s="54"/>
      <c r="E207" s="54"/>
      <c r="F207" s="54"/>
      <c r="G207" s="54"/>
      <c r="H207" s="179"/>
      <c r="I207" s="179"/>
      <c r="J207" s="179"/>
      <c r="K207" s="179"/>
      <c r="L207" s="179"/>
      <c r="M207" s="179"/>
      <c r="N207" s="179"/>
    </row>
    <row r="208" spans="1:16" ht="22" customHeight="1">
      <c r="A208" s="179"/>
      <c r="B208" s="62"/>
      <c r="C208" s="179"/>
      <c r="D208" s="54"/>
      <c r="E208" s="54"/>
      <c r="F208" s="73"/>
      <c r="G208" s="54"/>
      <c r="H208" s="179"/>
      <c r="I208" s="179"/>
      <c r="J208" s="179"/>
      <c r="K208" s="179"/>
      <c r="L208" s="179"/>
      <c r="M208" s="179"/>
      <c r="N208" s="179"/>
    </row>
    <row r="209" spans="1:14" ht="22" customHeight="1">
      <c r="A209" s="179"/>
      <c r="B209" s="62"/>
      <c r="C209" s="179"/>
      <c r="D209" s="73"/>
      <c r="E209" s="54"/>
      <c r="F209" s="54"/>
      <c r="G209" s="54"/>
      <c r="H209" s="179"/>
      <c r="I209" s="179"/>
      <c r="J209" s="179"/>
      <c r="K209" s="179"/>
      <c r="L209" s="179"/>
      <c r="M209" s="179"/>
      <c r="N209" s="179"/>
    </row>
    <row r="210" spans="1:14" ht="22" customHeight="1">
      <c r="A210" s="179"/>
      <c r="B210" s="54"/>
      <c r="C210" s="179"/>
      <c r="D210" s="54"/>
      <c r="E210" s="54"/>
      <c r="F210" s="73"/>
      <c r="G210" s="54"/>
      <c r="H210" s="179"/>
      <c r="I210" s="179"/>
      <c r="J210" s="179"/>
      <c r="K210" s="179"/>
      <c r="L210" s="179"/>
      <c r="M210" s="179"/>
      <c r="N210" s="179"/>
    </row>
    <row r="211" spans="1:14" ht="22" customHeight="1">
      <c r="A211" s="179"/>
      <c r="B211" s="62"/>
      <c r="C211" s="54"/>
      <c r="D211" s="54"/>
      <c r="E211" s="54"/>
      <c r="F211" s="73"/>
      <c r="G211" s="54"/>
      <c r="H211" s="179"/>
      <c r="I211" s="179"/>
      <c r="J211" s="179"/>
      <c r="K211" s="179"/>
      <c r="L211" s="179"/>
      <c r="M211" s="179"/>
      <c r="N211" s="179"/>
    </row>
    <row r="212" spans="1:14" ht="22" customHeight="1">
      <c r="A212" s="179"/>
      <c r="B212" s="62"/>
      <c r="C212" s="54"/>
      <c r="D212" s="54"/>
      <c r="E212" s="54"/>
      <c r="F212" s="54"/>
      <c r="G212" s="54"/>
      <c r="H212" s="179"/>
      <c r="I212" s="179"/>
      <c r="J212" s="179"/>
      <c r="K212" s="179"/>
      <c r="L212" s="179"/>
      <c r="M212" s="179"/>
      <c r="N212" s="179"/>
    </row>
    <row r="213" spans="1:14" ht="22" customHeight="1">
      <c r="A213" s="179"/>
      <c r="B213" s="62"/>
      <c r="C213" s="54"/>
      <c r="D213" s="54"/>
      <c r="E213" s="54"/>
      <c r="F213" s="54"/>
      <c r="G213" s="54"/>
      <c r="H213" s="179"/>
      <c r="I213" s="179"/>
      <c r="J213" s="179"/>
      <c r="K213" s="179"/>
      <c r="L213" s="179"/>
      <c r="M213" s="179"/>
      <c r="N213" s="179"/>
    </row>
    <row r="214" spans="1:14" ht="22" customHeight="1">
      <c r="A214" s="179"/>
      <c r="B214" s="62"/>
      <c r="C214" s="54"/>
      <c r="D214" s="54"/>
      <c r="E214" s="54"/>
      <c r="F214" s="73"/>
      <c r="G214" s="179"/>
      <c r="H214" s="179"/>
      <c r="I214" s="179"/>
      <c r="J214" s="179"/>
      <c r="K214" s="179"/>
      <c r="L214" s="179"/>
      <c r="M214" s="179"/>
      <c r="N214" s="179"/>
    </row>
    <row r="215" spans="1:14" ht="22" customHeight="1">
      <c r="A215" s="179"/>
      <c r="B215" s="98"/>
      <c r="C215" s="179"/>
      <c r="D215" s="179"/>
      <c r="E215" s="179"/>
      <c r="F215" s="54"/>
      <c r="G215" s="179"/>
      <c r="H215" s="179"/>
      <c r="I215" s="179"/>
      <c r="J215" s="179"/>
      <c r="K215" s="179"/>
      <c r="L215" s="179"/>
      <c r="M215" s="179"/>
      <c r="N215" s="179"/>
    </row>
    <row r="216" spans="1:14" ht="22" customHeight="1">
      <c r="A216" s="179"/>
      <c r="B216" s="62"/>
      <c r="C216" s="179"/>
      <c r="D216" s="179"/>
      <c r="E216" s="179"/>
      <c r="F216" s="179"/>
      <c r="G216" s="179"/>
      <c r="H216" s="179"/>
      <c r="I216" s="179"/>
      <c r="J216" s="179"/>
      <c r="K216" s="179"/>
      <c r="L216" s="179"/>
      <c r="M216" s="179"/>
      <c r="N216" s="179"/>
    </row>
    <row r="217" spans="1:14" ht="22" customHeight="1">
      <c r="A217" s="179"/>
      <c r="B217" s="62"/>
      <c r="C217" s="179"/>
      <c r="D217" s="179"/>
      <c r="E217" s="179"/>
      <c r="F217" s="184"/>
      <c r="G217" s="179"/>
      <c r="H217" s="179"/>
      <c r="I217" s="179"/>
      <c r="J217" s="179"/>
      <c r="K217" s="179"/>
      <c r="L217" s="179"/>
      <c r="M217" s="179"/>
      <c r="N217" s="179"/>
    </row>
    <row r="218" spans="1:14" ht="22" customHeight="1">
      <c r="A218" s="179"/>
      <c r="B218" s="54"/>
      <c r="C218" s="179"/>
      <c r="D218" s="179"/>
      <c r="E218" s="179"/>
      <c r="F218" s="184"/>
      <c r="G218" s="179"/>
      <c r="H218" s="179"/>
      <c r="I218" s="179"/>
      <c r="J218" s="179"/>
      <c r="K218" s="179"/>
      <c r="L218" s="179"/>
      <c r="M218" s="179"/>
      <c r="N218" s="179"/>
    </row>
    <row r="219" spans="1:14" ht="22" customHeight="1">
      <c r="A219" s="179"/>
      <c r="B219" s="54"/>
      <c r="C219" s="179"/>
      <c r="D219" s="179"/>
      <c r="E219" s="179"/>
      <c r="F219" s="184"/>
      <c r="G219" s="179"/>
      <c r="H219" s="179"/>
      <c r="I219" s="179"/>
      <c r="J219" s="179"/>
      <c r="K219" s="179"/>
      <c r="L219" s="179"/>
      <c r="M219" s="179"/>
      <c r="N219" s="179"/>
    </row>
    <row r="220" spans="1:14" ht="22" customHeight="1">
      <c r="A220" s="179"/>
      <c r="B220" s="98"/>
      <c r="C220" s="179"/>
      <c r="D220" s="179"/>
      <c r="E220" s="179"/>
      <c r="F220" s="179"/>
      <c r="G220" s="179"/>
      <c r="H220" s="179"/>
      <c r="I220" s="179"/>
      <c r="J220" s="179"/>
      <c r="K220" s="179"/>
      <c r="L220" s="179"/>
      <c r="M220" s="179"/>
      <c r="N220" s="179"/>
    </row>
    <row r="221" spans="1:14" ht="22" customHeight="1">
      <c r="A221" s="179"/>
      <c r="B221" s="62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</row>
    <row r="222" spans="1:14" ht="22" customHeight="1">
      <c r="A222" s="179"/>
      <c r="B222" s="66"/>
      <c r="C222" s="54"/>
      <c r="D222" s="54"/>
      <c r="E222" s="54"/>
      <c r="F222" s="179"/>
      <c r="G222" s="179"/>
      <c r="H222" s="179"/>
      <c r="I222" s="179"/>
      <c r="J222" s="179"/>
      <c r="K222" s="179"/>
      <c r="L222" s="179"/>
      <c r="M222" s="179"/>
      <c r="N222" s="179"/>
    </row>
    <row r="223" spans="1:14" ht="22" customHeight="1">
      <c r="A223" s="179"/>
      <c r="B223" s="54"/>
      <c r="C223" s="54"/>
      <c r="D223" s="54"/>
      <c r="E223" s="54"/>
      <c r="F223" s="54"/>
      <c r="G223" s="54"/>
      <c r="H223" s="54"/>
      <c r="I223" s="179"/>
      <c r="J223" s="179"/>
      <c r="K223" s="179"/>
      <c r="L223" s="179"/>
      <c r="M223" s="179"/>
      <c r="N223" s="179"/>
    </row>
    <row r="224" spans="1:14" ht="22" customHeight="1">
      <c r="A224" s="179"/>
      <c r="B224" s="54"/>
      <c r="C224" s="158"/>
      <c r="D224" s="158"/>
      <c r="E224" s="158"/>
      <c r="F224" s="54"/>
      <c r="G224" s="54"/>
      <c r="H224" s="54"/>
      <c r="I224" s="179"/>
      <c r="J224" s="179"/>
      <c r="K224" s="179"/>
      <c r="L224" s="179"/>
      <c r="M224" s="179"/>
      <c r="N224" s="179"/>
    </row>
    <row r="225" spans="1:14" ht="22" customHeight="1">
      <c r="A225" s="179"/>
      <c r="B225" s="66"/>
      <c r="C225" s="54"/>
      <c r="D225" s="54"/>
      <c r="E225" s="54"/>
      <c r="F225" s="158"/>
      <c r="G225" s="158"/>
      <c r="H225" s="158"/>
      <c r="I225" s="179"/>
      <c r="J225" s="179"/>
      <c r="K225" s="179"/>
      <c r="L225" s="179"/>
      <c r="M225" s="179"/>
      <c r="N225" s="179"/>
    </row>
    <row r="226" spans="1:14" ht="22" customHeight="1">
      <c r="A226" s="179"/>
      <c r="B226" s="66"/>
      <c r="C226" s="54"/>
      <c r="D226" s="54"/>
      <c r="E226" s="54"/>
      <c r="F226" s="54"/>
      <c r="G226" s="54"/>
      <c r="H226" s="54"/>
      <c r="I226" s="179"/>
      <c r="J226" s="179"/>
      <c r="K226" s="179"/>
      <c r="L226" s="179"/>
      <c r="M226" s="179"/>
      <c r="N226" s="179"/>
    </row>
    <row r="227" spans="1:14" ht="22" customHeight="1">
      <c r="A227" s="179"/>
      <c r="B227" s="54"/>
      <c r="C227" s="54"/>
      <c r="D227" s="54"/>
      <c r="E227" s="54"/>
      <c r="F227" s="54"/>
      <c r="G227" s="54"/>
      <c r="H227" s="54"/>
      <c r="I227" s="54"/>
      <c r="J227" s="179"/>
      <c r="K227" s="179"/>
      <c r="L227" s="179"/>
      <c r="M227" s="179"/>
      <c r="N227" s="179"/>
    </row>
    <row r="228" spans="1:14" ht="22" customHeight="1">
      <c r="A228" s="179"/>
      <c r="B228" s="54"/>
      <c r="C228" s="54"/>
      <c r="D228" s="54"/>
      <c r="E228" s="54"/>
      <c r="F228" s="54"/>
      <c r="G228" s="54"/>
      <c r="H228" s="54"/>
      <c r="I228" s="54"/>
      <c r="J228" s="179"/>
      <c r="K228" s="179"/>
      <c r="L228" s="179"/>
      <c r="M228" s="179"/>
      <c r="N228" s="179"/>
    </row>
    <row r="229" spans="1:14" ht="22" customHeight="1">
      <c r="A229" s="179"/>
      <c r="B229" s="54"/>
      <c r="C229" s="54"/>
      <c r="D229" s="54"/>
      <c r="E229" s="54"/>
      <c r="F229" s="54"/>
      <c r="G229" s="54"/>
      <c r="H229" s="54"/>
      <c r="I229" s="54"/>
      <c r="J229" s="179"/>
      <c r="K229" s="179"/>
      <c r="L229" s="179"/>
      <c r="M229" s="179"/>
      <c r="N229" s="179"/>
    </row>
    <row r="230" spans="1:14" ht="22" customHeight="1">
      <c r="A230" s="179"/>
      <c r="B230" s="54"/>
      <c r="C230" s="54"/>
      <c r="D230" s="54"/>
      <c r="E230" s="54"/>
      <c r="F230" s="54"/>
      <c r="G230" s="54"/>
      <c r="H230" s="54"/>
      <c r="I230" s="54"/>
      <c r="J230" s="179"/>
      <c r="K230" s="179"/>
      <c r="L230" s="179"/>
      <c r="M230" s="179"/>
      <c r="N230" s="179"/>
    </row>
    <row r="231" spans="1:14" ht="22" customHeight="1">
      <c r="A231" s="179"/>
      <c r="B231" s="54"/>
      <c r="C231" s="54"/>
      <c r="D231" s="54"/>
      <c r="E231" s="54"/>
      <c r="F231" s="54"/>
      <c r="G231" s="54"/>
      <c r="H231" s="54"/>
      <c r="I231" s="54"/>
      <c r="J231" s="179"/>
      <c r="K231" s="179"/>
      <c r="L231" s="179"/>
      <c r="M231" s="179"/>
      <c r="N231" s="179"/>
    </row>
    <row r="232" spans="1:14" ht="22" customHeight="1">
      <c r="A232" s="179"/>
      <c r="B232" s="54"/>
      <c r="C232" s="54"/>
      <c r="D232" s="54"/>
      <c r="E232" s="54"/>
      <c r="F232" s="54"/>
      <c r="G232" s="54"/>
      <c r="H232" s="54"/>
      <c r="I232" s="54"/>
      <c r="J232" s="179"/>
      <c r="K232" s="179"/>
      <c r="L232" s="179"/>
      <c r="M232" s="179"/>
      <c r="N232" s="179"/>
    </row>
    <row r="233" spans="1:14" ht="22" customHeight="1">
      <c r="A233" s="179"/>
      <c r="B233" s="54"/>
      <c r="C233" s="54"/>
      <c r="D233" s="54"/>
      <c r="E233" s="54"/>
      <c r="F233" s="54"/>
      <c r="G233" s="54"/>
      <c r="H233" s="54"/>
      <c r="I233" s="54"/>
      <c r="J233" s="179"/>
      <c r="K233" s="179"/>
      <c r="L233" s="179"/>
      <c r="M233" s="179"/>
      <c r="N233" s="179"/>
    </row>
    <row r="234" spans="1:14" ht="22" customHeight="1">
      <c r="C234" s="1"/>
      <c r="D234" s="1"/>
      <c r="E234" s="1"/>
      <c r="F234" s="1"/>
      <c r="G234" s="1"/>
      <c r="H234" s="1"/>
      <c r="I234" s="1"/>
    </row>
    <row r="235" spans="1:14" ht="22" customHeight="1">
      <c r="F235" s="1"/>
      <c r="G235" s="1"/>
      <c r="H235" s="1"/>
      <c r="I235" s="1"/>
    </row>
  </sheetData>
  <hyperlinks>
    <hyperlink ref="P182" r:id="rId1" xr:uid="{6372C9F0-8C33-4249-A2FD-C7442FEEF2BF}"/>
  </hyperlinks>
  <pageMargins left="0.75" right="0.75" top="1" bottom="1" header="0.5" footer="0.5"/>
  <pageSetup scale="40" orientation="landscape" horizontalDpi="4294967292" verticalDpi="4294967292"/>
  <headerFooter alignWithMargins="0"/>
  <ignoredErrors>
    <ignoredError sqref="I10:J10" formulaRange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23"/>
  <sheetViews>
    <sheetView showGridLines="0" zoomScale="125" zoomScaleNormal="93" workbookViewId="0">
      <pane xSplit="1" ySplit="4" topLeftCell="B47" activePane="bottomRight" state="frozen"/>
      <selection pane="topRight" activeCell="B1" sqref="B1"/>
      <selection pane="bottomLeft" activeCell="A8" sqref="A8"/>
      <selection pane="bottomRight" activeCell="D52" sqref="D52"/>
    </sheetView>
  </sheetViews>
  <sheetFormatPr baseColWidth="10" defaultColWidth="9.33203125" defaultRowHeight="22" customHeight="1"/>
  <cols>
    <col min="1" max="1" width="64.6640625" style="7" customWidth="1"/>
    <col min="2" max="2" width="14.33203125" style="7" customWidth="1"/>
    <col min="3" max="3" width="14.83203125" style="7" customWidth="1"/>
    <col min="4" max="4" width="13.5" style="7" customWidth="1"/>
    <col min="5" max="5" width="12.83203125" style="7" customWidth="1"/>
    <col min="6" max="6" width="13" style="7" customWidth="1"/>
    <col min="7" max="8" width="12.83203125" style="7" customWidth="1"/>
    <col min="9" max="9" width="13" style="7" customWidth="1"/>
    <col min="10" max="10" width="12.83203125" style="7" customWidth="1"/>
    <col min="11" max="11" width="15.33203125" style="7" customWidth="1"/>
    <col min="12" max="12" width="12.6640625" style="7" customWidth="1"/>
    <col min="13" max="20" width="12.83203125" style="7" customWidth="1"/>
    <col min="21" max="21" width="13.33203125" style="7" bestFit="1" customWidth="1"/>
    <col min="22" max="25" width="12.83203125" style="7" customWidth="1"/>
    <col min="26" max="26" width="14.1640625" style="7" bestFit="1" customWidth="1"/>
    <col min="27" max="16384" width="9.33203125" style="7"/>
  </cols>
  <sheetData>
    <row r="1" spans="1:23" s="1" customFormat="1" ht="22" customHeight="1">
      <c r="A1" s="53" t="s">
        <v>0</v>
      </c>
      <c r="B1" s="54"/>
      <c r="C1" s="54"/>
      <c r="D1" s="54"/>
      <c r="E1" s="54"/>
      <c r="F1" s="54"/>
      <c r="G1" s="54"/>
      <c r="H1" s="54"/>
    </row>
    <row r="2" spans="1:23" s="1" customFormat="1" ht="22" customHeight="1">
      <c r="A2" s="54" t="s">
        <v>162</v>
      </c>
      <c r="B2" s="54"/>
      <c r="C2" s="54"/>
      <c r="D2" s="54"/>
      <c r="E2" s="54"/>
      <c r="F2" s="54"/>
      <c r="G2" s="56"/>
      <c r="H2" s="56"/>
      <c r="J2" s="11"/>
      <c r="K2" s="11"/>
      <c r="O2" s="11"/>
      <c r="P2" s="11"/>
      <c r="T2" s="11"/>
      <c r="U2" s="20"/>
    </row>
    <row r="3" spans="1:23" s="1" customFormat="1" ht="22" customHeight="1">
      <c r="A3" s="54" t="s">
        <v>65</v>
      </c>
      <c r="B3" s="54"/>
      <c r="C3" s="54"/>
      <c r="D3" s="54"/>
      <c r="E3" s="54"/>
      <c r="F3" s="54"/>
      <c r="G3" s="56"/>
      <c r="H3" s="56"/>
      <c r="J3" s="11"/>
      <c r="K3" s="11"/>
      <c r="O3" s="11"/>
      <c r="P3" s="11"/>
      <c r="T3" s="11"/>
      <c r="U3" s="11"/>
    </row>
    <row r="4" spans="1:23" s="1" customFormat="1" ht="22" customHeight="1">
      <c r="A4" s="233" t="s">
        <v>201</v>
      </c>
      <c r="B4" s="234">
        <v>2020</v>
      </c>
      <c r="C4" s="234">
        <v>2021</v>
      </c>
      <c r="D4" s="234">
        <v>2022</v>
      </c>
      <c r="E4" s="234">
        <v>2023</v>
      </c>
      <c r="F4" s="234">
        <v>2024</v>
      </c>
      <c r="G4" s="234">
        <v>2025</v>
      </c>
      <c r="H4" s="254">
        <v>2026</v>
      </c>
      <c r="I4" s="234">
        <v>2027</v>
      </c>
      <c r="J4" s="234">
        <v>2028</v>
      </c>
      <c r="K4" s="234">
        <v>2029</v>
      </c>
      <c r="L4" s="234">
        <v>2030</v>
      </c>
      <c r="M4" s="234">
        <v>2031</v>
      </c>
      <c r="O4" s="9"/>
      <c r="P4" s="9"/>
      <c r="Q4" s="9"/>
      <c r="R4" s="9"/>
      <c r="T4" s="9"/>
      <c r="U4" s="9"/>
      <c r="V4" s="9"/>
      <c r="W4" s="9"/>
    </row>
    <row r="5" spans="1:23" s="1" customFormat="1" ht="22" customHeight="1">
      <c r="A5" s="59" t="s">
        <v>163</v>
      </c>
      <c r="B5" s="71">
        <f>'Base Revenue Driver'!C67</f>
        <v>2131.1672680000001</v>
      </c>
      <c r="C5" s="71">
        <f>'Base Revenue Driver'!D67</f>
        <v>4597.9596160000001</v>
      </c>
      <c r="D5" s="71">
        <f>'Base Revenue Driver'!E67</f>
        <v>8126.7461031500006</v>
      </c>
      <c r="E5" s="71">
        <f>'Base Revenue Driver'!F67</f>
        <v>8767.29131495</v>
      </c>
      <c r="F5" s="71">
        <f>'Base Revenue Driver'!G67</f>
        <v>8785.4199584999988</v>
      </c>
      <c r="G5" s="71">
        <f>'Base Revenue Driver'!H67</f>
        <v>8405.3474000000006</v>
      </c>
      <c r="H5" s="255">
        <f>'Base Revenue Driver'!I67</f>
        <v>8371.5237004972951</v>
      </c>
      <c r="I5" s="71">
        <f>'Base Revenue Driver'!J67</f>
        <v>8649.8910660072397</v>
      </c>
      <c r="J5" s="71">
        <f>'Base Revenue Driver'!K67</f>
        <v>8909.4196626973862</v>
      </c>
      <c r="K5" s="71">
        <f>'Base Revenue Driver'!L67</f>
        <v>9221.9470847132579</v>
      </c>
      <c r="L5" s="71">
        <f>'Base Revenue Driver'!M67</f>
        <v>9499.7516513970622</v>
      </c>
      <c r="M5" s="71">
        <f>'Base Revenue Driver'!N67</f>
        <v>9786.3801062891744</v>
      </c>
    </row>
    <row r="6" spans="1:23" s="1" customFormat="1" ht="22" customHeight="1">
      <c r="A6" s="54" t="s">
        <v>164</v>
      </c>
      <c r="B6" s="71">
        <f>'Base Revenue Driver'!C125</f>
        <v>1967.1709999999998</v>
      </c>
      <c r="C6" s="71">
        <f>'Base Revenue Driver'!D125</f>
        <v>3305.433</v>
      </c>
      <c r="D6" s="71">
        <f>'Base Revenue Driver'!E125</f>
        <v>3670.9100000000003</v>
      </c>
      <c r="E6" s="71">
        <f>'Base Revenue Driver'!F125</f>
        <v>3670.3089999999997</v>
      </c>
      <c r="F6" s="71">
        <f>'Base Revenue Driver'!G125</f>
        <v>3720.3219999999997</v>
      </c>
      <c r="G6" s="71">
        <f>'Base Revenue Driver'!H125</f>
        <v>3772.3329999999996</v>
      </c>
      <c r="H6" s="255">
        <f>'Base Revenue Driver'!I125</f>
        <v>3746.8781999999997</v>
      </c>
      <c r="I6" s="71">
        <f>'Base Revenue Driver'!J125</f>
        <v>3931.1998669999998</v>
      </c>
      <c r="J6" s="71">
        <f>'Base Revenue Driver'!K125</f>
        <v>4049.1358630099999</v>
      </c>
      <c r="K6" s="71">
        <f>'Base Revenue Driver'!L125</f>
        <v>4170.6099389003002</v>
      </c>
      <c r="L6" s="71">
        <f>'Base Revenue Driver'!M125</f>
        <v>4295.7282370673092</v>
      </c>
      <c r="M6" s="71">
        <f>'Base Revenue Driver'!N125</f>
        <v>4424.6000841793284</v>
      </c>
    </row>
    <row r="7" spans="1:23" s="2" customFormat="1" ht="22" customHeight="1">
      <c r="A7" s="60" t="s">
        <v>165</v>
      </c>
      <c r="B7" s="71">
        <f>'Base Revenue Driver'!C176</f>
        <v>656.70300000000009</v>
      </c>
      <c r="C7" s="71">
        <f>'Base Revenue Driver'!D176</f>
        <v>1210.761</v>
      </c>
      <c r="D7" s="71">
        <f>'Base Revenue Driver'!E176</f>
        <v>673.59299999999996</v>
      </c>
      <c r="E7" s="71">
        <f>'Base Revenue Driver'!F176</f>
        <v>3153.6089999999999</v>
      </c>
      <c r="F7" s="71">
        <f>'Base Revenue Driver'!G176</f>
        <v>4022.3839999999996</v>
      </c>
      <c r="G7" s="71">
        <f>'Base Revenue Driver'!H176</f>
        <v>4461.7429999999995</v>
      </c>
      <c r="H7" s="255">
        <f>'Base Revenue Driver'!I176</f>
        <v>4268.2451249999995</v>
      </c>
      <c r="I7" s="71">
        <f>'Base Revenue Driver'!J176</f>
        <v>4705.3844302499983</v>
      </c>
      <c r="J7" s="71">
        <f>'Base Revenue Driver'!K176</f>
        <v>4940.6536517624991</v>
      </c>
      <c r="K7" s="71">
        <f>'Base Revenue Driver'!L176</f>
        <v>5187.6863343506247</v>
      </c>
      <c r="L7" s="71">
        <f>'Base Revenue Driver'!M176</f>
        <v>5447.0706510681557</v>
      </c>
      <c r="M7" s="71">
        <f>'Base Revenue Driver'!N176</f>
        <v>5719.4241836215642</v>
      </c>
      <c r="N7" s="14"/>
      <c r="O7" s="14"/>
      <c r="P7" s="14"/>
      <c r="Q7" s="14"/>
      <c r="R7" s="14"/>
      <c r="S7" s="14"/>
      <c r="T7" s="14"/>
      <c r="U7" s="14"/>
      <c r="V7" s="14"/>
      <c r="W7" s="14"/>
    </row>
    <row r="8" spans="1:23" s="1" customFormat="1" ht="22" customHeight="1">
      <c r="A8" s="54" t="s">
        <v>123</v>
      </c>
      <c r="B8" s="71">
        <f>'Base Revenue Driver'!C190</f>
        <v>0</v>
      </c>
      <c r="C8" s="71">
        <f>'Base Revenue Driver'!D190</f>
        <v>0</v>
      </c>
      <c r="D8" s="71">
        <f>'Base Revenue Driver'!E190</f>
        <v>0</v>
      </c>
      <c r="E8" s="71">
        <f>'Base Revenue Driver'!F190</f>
        <v>432.14600000000002</v>
      </c>
      <c r="F8" s="71">
        <f>'Base Revenue Driver'!G190</f>
        <v>552.01199999999994</v>
      </c>
      <c r="G8" s="71">
        <f>'Base Revenue Driver'!H190</f>
        <v>654.19000000000005</v>
      </c>
      <c r="H8" s="255">
        <f>'Base Revenue Driver'!I190</f>
        <v>729.42185000000006</v>
      </c>
      <c r="I8" s="71">
        <f>'Base Revenue Driver'!J190</f>
        <v>813.30536275000009</v>
      </c>
      <c r="J8" s="71">
        <f>'Base Revenue Driver'!K190</f>
        <v>906.83547946625004</v>
      </c>
      <c r="K8" s="71">
        <f>'Base Revenue Driver'!L190</f>
        <v>1011.1215596048688</v>
      </c>
      <c r="L8" s="71">
        <f>'Base Revenue Driver'!M190</f>
        <v>1127.4005389594288</v>
      </c>
      <c r="M8" s="71">
        <f>'Base Revenue Driver'!N190</f>
        <v>1257.0516009397631</v>
      </c>
      <c r="N8" s="14"/>
      <c r="O8" s="14"/>
      <c r="P8" s="14"/>
      <c r="Q8" s="14"/>
      <c r="R8" s="14"/>
      <c r="S8" s="14"/>
      <c r="T8" s="14"/>
      <c r="U8" s="14"/>
      <c r="V8" s="14"/>
      <c r="W8" s="14"/>
    </row>
    <row r="9" spans="1:23" s="1" customFormat="1" ht="22" customHeight="1">
      <c r="A9" s="235" t="s">
        <v>5</v>
      </c>
      <c r="B9" s="139">
        <f t="shared" ref="B9:I9" si="0">SUM(B5:B7)</f>
        <v>4755.0412679999999</v>
      </c>
      <c r="C9" s="139">
        <f t="shared" si="0"/>
        <v>9114.1536159999996</v>
      </c>
      <c r="D9" s="139">
        <f t="shared" si="0"/>
        <v>12471.249103150001</v>
      </c>
      <c r="E9" s="139">
        <f t="shared" si="0"/>
        <v>15591.20931495</v>
      </c>
      <c r="F9" s="139">
        <f t="shared" si="0"/>
        <v>16528.125958499997</v>
      </c>
      <c r="G9" s="139">
        <f t="shared" si="0"/>
        <v>16639.4234</v>
      </c>
      <c r="H9" s="256">
        <f t="shared" si="0"/>
        <v>16386.647025497296</v>
      </c>
      <c r="I9" s="139">
        <f t="shared" si="0"/>
        <v>17286.475363257239</v>
      </c>
      <c r="J9" s="139">
        <f t="shared" ref="J9:M9" si="1">SUM(J5:J7)</f>
        <v>17899.209177469886</v>
      </c>
      <c r="K9" s="139">
        <f t="shared" si="1"/>
        <v>18580.24335796418</v>
      </c>
      <c r="L9" s="139">
        <f t="shared" si="1"/>
        <v>19242.550539532527</v>
      </c>
      <c r="M9" s="139">
        <f t="shared" si="1"/>
        <v>19930.404374090067</v>
      </c>
      <c r="N9" s="14"/>
      <c r="O9" s="14"/>
      <c r="P9" s="14"/>
      <c r="Q9" s="14"/>
      <c r="R9" s="14"/>
      <c r="S9" s="14"/>
      <c r="T9" s="14"/>
      <c r="U9" s="14"/>
      <c r="V9" s="14"/>
      <c r="W9" s="14"/>
    </row>
    <row r="10" spans="1:23" s="1" customFormat="1" ht="22" customHeight="1">
      <c r="A10" s="236" t="s">
        <v>9</v>
      </c>
      <c r="B10" s="237">
        <f>(B9/28590)-1</f>
        <v>-0.83368166253934939</v>
      </c>
      <c r="C10" s="238">
        <f>(C9/B9)-1</f>
        <v>0.91673491402388385</v>
      </c>
      <c r="D10" s="238">
        <f t="shared" ref="D10:I10" si="2">(D9/C9)-1</f>
        <v>0.36833869919161577</v>
      </c>
      <c r="E10" s="238">
        <f t="shared" si="2"/>
        <v>0.25017223102471386</v>
      </c>
      <c r="F10" s="238">
        <f t="shared" si="2"/>
        <v>6.0092621721883566E-2</v>
      </c>
      <c r="G10" s="238">
        <f t="shared" si="2"/>
        <v>6.7338209897152002E-3</v>
      </c>
      <c r="H10" s="257">
        <f t="shared" si="2"/>
        <v>-1.5191414295203542E-2</v>
      </c>
      <c r="I10" s="238">
        <f t="shared" si="2"/>
        <v>5.4912291474871422E-2</v>
      </c>
      <c r="J10" s="238">
        <f t="shared" ref="J10" si="3">(J9/I9)-1</f>
        <v>3.5445850084339536E-2</v>
      </c>
      <c r="K10" s="238">
        <f t="shared" ref="K10" si="4">(K9/J9)-1</f>
        <v>3.80482832365312E-2</v>
      </c>
      <c r="L10" s="238">
        <f t="shared" ref="L10" si="5">(L9/K9)-1</f>
        <v>3.5645775397471269E-2</v>
      </c>
      <c r="M10" s="238">
        <f t="shared" ref="M10" si="6">(M9/L9)-1</f>
        <v>3.5746500088145394E-2</v>
      </c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spans="1:23" s="1" customFormat="1" ht="22" customHeight="1">
      <c r="A11" s="54"/>
      <c r="B11" s="54"/>
      <c r="C11" s="54"/>
      <c r="D11" s="54"/>
      <c r="E11" s="54"/>
      <c r="F11" s="54"/>
      <c r="G11" s="54"/>
      <c r="H11" s="258"/>
      <c r="I11" s="54"/>
      <c r="J11" s="71"/>
      <c r="K11" s="71"/>
      <c r="L11" s="71"/>
      <c r="M11" s="71"/>
      <c r="N11" s="14"/>
      <c r="O11" s="14"/>
      <c r="P11" s="14"/>
      <c r="Q11" s="14"/>
      <c r="R11" s="14"/>
      <c r="S11" s="14"/>
      <c r="T11" s="14"/>
      <c r="U11" s="14"/>
      <c r="V11" s="14"/>
      <c r="W11" s="14"/>
    </row>
    <row r="12" spans="1:23" s="1" customFormat="1" ht="22" customHeight="1">
      <c r="A12" s="59" t="s">
        <v>166</v>
      </c>
      <c r="B12" s="71">
        <f>'Base Revenue Driver'!C70</f>
        <v>-628.89425776286839</v>
      </c>
      <c r="C12" s="71">
        <f>'Base Revenue Driver'!D70</f>
        <v>2141.5255317847868</v>
      </c>
      <c r="D12" s="71">
        <f>'Base Revenue Driver'!E70</f>
        <v>-349.61576067760711</v>
      </c>
      <c r="E12" s="71">
        <f>'Base Revenue Driver'!F70</f>
        <v>1506.4587141370534</v>
      </c>
      <c r="F12" s="71">
        <f>'Base Revenue Driver'!G70</f>
        <v>1517.5912437307238</v>
      </c>
      <c r="G12" s="71">
        <f>'Base Revenue Driver'!H70</f>
        <v>1265.5169024285922</v>
      </c>
      <c r="H12" s="255">
        <f>'Base Revenue Driver'!I70</f>
        <v>1381.6581246510179</v>
      </c>
      <c r="I12" s="71">
        <f>'Base Revenue Driver'!J70</f>
        <v>1427.6006013081249</v>
      </c>
      <c r="J12" s="71">
        <f>'Base Revenue Driver'!K70</f>
        <v>1470.4338783822752</v>
      </c>
      <c r="K12" s="71">
        <f>'Base Revenue Driver'!L70</f>
        <v>1522.0142199369216</v>
      </c>
      <c r="L12" s="71">
        <f>'Base Revenue Driver'!M70</f>
        <v>1567.8638108066259</v>
      </c>
      <c r="M12" s="71">
        <f>'Base Revenue Driver'!N70</f>
        <v>1615.1697192202078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</row>
    <row r="13" spans="1:23" s="1" customFormat="1" ht="22" customHeight="1">
      <c r="A13" s="54" t="s">
        <v>167</v>
      </c>
      <c r="B13" s="71">
        <f>'Base Revenue Driver'!C128</f>
        <v>-450.83078742476221</v>
      </c>
      <c r="C13" s="71">
        <f>'Base Revenue Driver'!D128</f>
        <v>498.36022647211701</v>
      </c>
      <c r="D13" s="71">
        <f>'Base Revenue Driver'!E128</f>
        <v>388.68687645062948</v>
      </c>
      <c r="E13" s="71">
        <f>'Base Revenue Driver'!F128</f>
        <v>428.20054798294848</v>
      </c>
      <c r="F13" s="71">
        <f>'Base Revenue Driver'!G128</f>
        <v>470.68979625434247</v>
      </c>
      <c r="G13" s="71">
        <f>'Base Revenue Driver'!H128</f>
        <v>448.5751041580935</v>
      </c>
      <c r="H13" s="255">
        <f>'Base Revenue Driver'!I128</f>
        <v>452.24381711806598</v>
      </c>
      <c r="I13" s="71">
        <f>'Base Revenue Driver'!J128</f>
        <v>474.49122677809845</v>
      </c>
      <c r="J13" s="71">
        <f>'Base Revenue Driver'!K128</f>
        <v>488.72596358144142</v>
      </c>
      <c r="K13" s="71">
        <f>'Base Revenue Driver'!L128</f>
        <v>503.38774248888467</v>
      </c>
      <c r="L13" s="71">
        <f>'Base Revenue Driver'!M128</f>
        <v>518.48937476355127</v>
      </c>
      <c r="M13" s="71">
        <f>'Base Revenue Driver'!N128</f>
        <v>534.04405600645771</v>
      </c>
      <c r="N13" s="14"/>
      <c r="O13" s="14"/>
      <c r="P13" s="14"/>
      <c r="Q13" s="14"/>
      <c r="R13" s="14"/>
      <c r="S13" s="14"/>
      <c r="T13" s="14"/>
      <c r="U13" s="14"/>
      <c r="V13" s="14"/>
      <c r="W13" s="14"/>
    </row>
    <row r="14" spans="1:23" s="1" customFormat="1" ht="22" customHeight="1">
      <c r="A14" s="60" t="s">
        <v>168</v>
      </c>
      <c r="B14" s="71">
        <f>'Base Revenue Driver'!C179</f>
        <v>-459.16795481236949</v>
      </c>
      <c r="C14" s="71">
        <f>'Base Revenue Driver'!D179</f>
        <v>-238.16475825690401</v>
      </c>
      <c r="D14" s="71">
        <f>'Base Revenue Driver'!E179</f>
        <v>-369.37187786706602</v>
      </c>
      <c r="E14" s="71">
        <f>'Base Revenue Driver'!F179</f>
        <v>261.14163582983292</v>
      </c>
      <c r="F14" s="71">
        <f>'Base Revenue Driver'!G179</f>
        <v>359.62815113442514</v>
      </c>
      <c r="G14" s="71">
        <f>'Base Revenue Driver'!H179</f>
        <v>357.93641173582603</v>
      </c>
      <c r="H14" s="255">
        <f>'Base Revenue Driver'!I179</f>
        <v>359.15490051354811</v>
      </c>
      <c r="I14" s="71">
        <f>'Base Revenue Driver'!J179</f>
        <v>395.93833705238205</v>
      </c>
      <c r="J14" s="71">
        <f>'Base Revenue Driver'!K179</f>
        <v>415.73525390500123</v>
      </c>
      <c r="K14" s="71">
        <f>'Base Revenue Driver'!L179</f>
        <v>436.52201660025133</v>
      </c>
      <c r="L14" s="71">
        <f>'Base Revenue Driver'!M179</f>
        <v>458.34811743026387</v>
      </c>
      <c r="M14" s="71">
        <f>'Base Revenue Driver'!N179</f>
        <v>481.26552330177714</v>
      </c>
      <c r="N14" s="14"/>
      <c r="O14" s="14"/>
      <c r="P14" s="14"/>
      <c r="Q14" s="14"/>
      <c r="R14" s="14"/>
      <c r="S14" s="14"/>
      <c r="T14" s="14"/>
      <c r="U14" s="14"/>
      <c r="V14" s="14"/>
      <c r="W14" s="14"/>
    </row>
    <row r="15" spans="1:23" s="1" customFormat="1" ht="22" customHeight="1">
      <c r="A15" s="54" t="s">
        <v>169</v>
      </c>
      <c r="B15" s="71">
        <f>'Base Revenue Driver'!C193</f>
        <v>0</v>
      </c>
      <c r="C15" s="71">
        <f>'Base Revenue Driver'!D193</f>
        <v>0</v>
      </c>
      <c r="D15" s="71">
        <f>'Base Revenue Driver'!E193</f>
        <v>0</v>
      </c>
      <c r="E15" s="71">
        <f>'Base Revenue Driver'!F193</f>
        <v>-115.43089794983493</v>
      </c>
      <c r="F15" s="71">
        <f>'Base Revenue Driver'!G193</f>
        <v>-177.06519111949126</v>
      </c>
      <c r="G15" s="71">
        <f>'Base Revenue Driver'!H193</f>
        <v>-214.24041832251208</v>
      </c>
      <c r="H15" s="255">
        <f>'Base Revenue Driver'!I193</f>
        <v>-109.41327750000001</v>
      </c>
      <c r="I15" s="71">
        <f>'Base Revenue Driver'!J193</f>
        <v>-73.19748264750001</v>
      </c>
      <c r="J15" s="71">
        <f>'Base Revenue Driver'!K193</f>
        <v>-54.410128767975003</v>
      </c>
      <c r="K15" s="71">
        <f>'Base Revenue Driver'!L193</f>
        <v>-30.333646788146062</v>
      </c>
      <c r="L15" s="71">
        <f>'Base Revenue Driver'!M193</f>
        <v>33.822016168782859</v>
      </c>
      <c r="M15" s="71">
        <f>'Base Revenue Driver'!N193</f>
        <v>50.28206403759053</v>
      </c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 spans="1:23" s="1" customFormat="1" ht="22" customHeight="1">
      <c r="A16" s="54" t="s">
        <v>10</v>
      </c>
      <c r="B16" s="71">
        <f>'Base Revenue Driver'!C196</f>
        <v>896</v>
      </c>
      <c r="C16" s="71">
        <f>'Base Revenue Driver'!D196</f>
        <v>-123.02200000000001</v>
      </c>
      <c r="D16" s="71">
        <f>'Base Revenue Driver'!E196</f>
        <v>1769.67</v>
      </c>
      <c r="E16" s="71">
        <f>'Base Revenue Driver'!F196</f>
        <v>-189</v>
      </c>
      <c r="F16" s="71">
        <f>'Base Revenue Driver'!G196</f>
        <v>-680</v>
      </c>
      <c r="G16" s="71">
        <f>'Base Revenue Driver'!H196</f>
        <v>-856</v>
      </c>
      <c r="H16" s="255">
        <f>'Base Revenue Driver'!I196</f>
        <v>-768</v>
      </c>
      <c r="I16" s="71">
        <f>'Base Revenue Driver'!J196</f>
        <v>-768</v>
      </c>
      <c r="J16" s="71">
        <f>'Base Revenue Driver'!K196</f>
        <v>-768</v>
      </c>
      <c r="K16" s="71">
        <f>'Base Revenue Driver'!L196</f>
        <v>-768</v>
      </c>
      <c r="L16" s="71">
        <f>'Base Revenue Driver'!M196</f>
        <v>-768</v>
      </c>
      <c r="M16" s="71">
        <f>'Base Revenue Driver'!N196</f>
        <v>-768</v>
      </c>
      <c r="N16" s="14"/>
      <c r="O16" s="14"/>
      <c r="P16" s="14"/>
      <c r="Q16" s="14"/>
      <c r="R16" s="14"/>
      <c r="S16" s="14"/>
      <c r="T16" s="14"/>
      <c r="U16" s="14"/>
      <c r="V16" s="14"/>
      <c r="W16" s="14"/>
    </row>
    <row r="17" spans="1:25" s="2" customFormat="1" ht="22" customHeight="1">
      <c r="A17" s="235" t="s">
        <v>13</v>
      </c>
      <c r="B17" s="139">
        <f>SUM(B12:B16)</f>
        <v>-642.89300000000026</v>
      </c>
      <c r="C17" s="139">
        <f t="shared" ref="C17:M17" si="7">SUM(C12:C16)</f>
        <v>2278.6990000000001</v>
      </c>
      <c r="D17" s="139">
        <f t="shared" si="7"/>
        <v>1439.3692379059564</v>
      </c>
      <c r="E17" s="139">
        <f t="shared" si="7"/>
        <v>1891.37</v>
      </c>
      <c r="F17" s="139">
        <f t="shared" si="7"/>
        <v>1490.8440000000001</v>
      </c>
      <c r="G17" s="139">
        <f t="shared" si="7"/>
        <v>1001.7879999999996</v>
      </c>
      <c r="H17" s="256">
        <f t="shared" si="7"/>
        <v>1315.643564782632</v>
      </c>
      <c r="I17" s="139">
        <f t="shared" si="7"/>
        <v>1456.8326824911055</v>
      </c>
      <c r="J17" s="139">
        <f t="shared" si="7"/>
        <v>1552.4849671007428</v>
      </c>
      <c r="K17" s="139">
        <f t="shared" si="7"/>
        <v>1663.5903322379118</v>
      </c>
      <c r="L17" s="139">
        <f t="shared" si="7"/>
        <v>1810.5233191692237</v>
      </c>
      <c r="M17" s="139">
        <f t="shared" si="7"/>
        <v>1912.7613625660329</v>
      </c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 spans="1:25" s="4" customFormat="1" ht="22" customHeight="1">
      <c r="A18" s="239" t="s">
        <v>35</v>
      </c>
      <c r="B18" s="240">
        <f>'Base Revenue Driver'!C200</f>
        <v>-538.89300000000026</v>
      </c>
      <c r="C18" s="240">
        <f>'Base Revenue Driver'!D200</f>
        <v>784.69900000000007</v>
      </c>
      <c r="D18" s="240">
        <f>'Base Revenue Driver'!E200</f>
        <v>369.36923790595642</v>
      </c>
      <c r="E18" s="240">
        <f>'Base Revenue Driver'!F200</f>
        <v>1492.37</v>
      </c>
      <c r="F18" s="240">
        <f>'Base Revenue Driver'!G200</f>
        <v>1490.8440000000001</v>
      </c>
      <c r="G18" s="240">
        <f>'Base Revenue Driver'!H200</f>
        <v>1373.7879999999996</v>
      </c>
      <c r="H18" s="259">
        <f>'Base Revenue Driver'!I200</f>
        <v>1315.643564782632</v>
      </c>
      <c r="I18" s="240">
        <f>'Base Revenue Driver'!J200</f>
        <v>1456.8326824911055</v>
      </c>
      <c r="J18" s="240">
        <f>'Base Revenue Driver'!K200</f>
        <v>1552.4849671007428</v>
      </c>
      <c r="K18" s="240">
        <f>'Base Revenue Driver'!L200</f>
        <v>1663.5903322379118</v>
      </c>
      <c r="L18" s="240">
        <f>'Base Revenue Driver'!M200</f>
        <v>1810.5233191692237</v>
      </c>
      <c r="M18" s="240">
        <f>'Base Revenue Driver'!N200</f>
        <v>1912.7613625660329</v>
      </c>
    </row>
    <row r="19" spans="1:25" s="4" customFormat="1" ht="22" customHeight="1">
      <c r="A19" s="64"/>
      <c r="B19" s="64"/>
      <c r="C19" s="64"/>
      <c r="D19" s="64"/>
      <c r="E19" s="64"/>
      <c r="F19" s="64"/>
      <c r="G19" s="64"/>
      <c r="H19" s="260"/>
      <c r="I19" s="64"/>
      <c r="J19" s="66"/>
      <c r="K19" s="66"/>
      <c r="L19" s="66"/>
      <c r="M19" s="66"/>
    </row>
    <row r="20" spans="1:25" s="2" customFormat="1" ht="22" customHeight="1">
      <c r="A20" s="68" t="s">
        <v>6</v>
      </c>
      <c r="B20" s="71">
        <v>676.38</v>
      </c>
      <c r="C20" s="74">
        <v>799.59299999999996</v>
      </c>
      <c r="D20" s="178">
        <v>594.95399999999995</v>
      </c>
      <c r="E20" s="202">
        <v>460.29300000000001</v>
      </c>
      <c r="F20" s="71">
        <v>443.23</v>
      </c>
      <c r="G20" s="71">
        <v>419.04199999999997</v>
      </c>
      <c r="H20" s="255">
        <f>AVERAGE(E20:G20)</f>
        <v>440.85500000000002</v>
      </c>
      <c r="I20" s="71">
        <f>$H$20</f>
        <v>440.85500000000002</v>
      </c>
      <c r="J20" s="71">
        <f>$H$20</f>
        <v>440.85500000000002</v>
      </c>
      <c r="K20" s="71">
        <f>$H$20</f>
        <v>440.85500000000002</v>
      </c>
      <c r="L20" s="71">
        <f>$H$20</f>
        <v>440.85500000000002</v>
      </c>
      <c r="M20" s="71">
        <f>$H$20</f>
        <v>440.85500000000002</v>
      </c>
    </row>
    <row r="21" spans="1:25" s="2" customFormat="1" ht="22" customHeight="1">
      <c r="A21" s="64" t="s">
        <v>173</v>
      </c>
      <c r="B21" s="178">
        <v>-103.304</v>
      </c>
      <c r="C21" s="178">
        <v>-83.242999999999995</v>
      </c>
      <c r="D21" s="178">
        <v>-23.457000000000001</v>
      </c>
      <c r="E21" s="71">
        <v>-1.032</v>
      </c>
      <c r="F21" s="71">
        <v>-0.73399999999999999</v>
      </c>
      <c r="G21" s="178">
        <v>1.135</v>
      </c>
      <c r="H21" s="255">
        <v>0</v>
      </c>
      <c r="I21" s="71">
        <v>0</v>
      </c>
      <c r="J21" s="71">
        <v>0</v>
      </c>
      <c r="K21" s="71">
        <v>0</v>
      </c>
      <c r="L21" s="71">
        <v>0</v>
      </c>
      <c r="M21" s="71">
        <v>0</v>
      </c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 spans="1:25" s="2" customFormat="1" ht="22" customHeight="1">
      <c r="A22" s="64" t="s">
        <v>174</v>
      </c>
      <c r="B22" s="71">
        <v>-89.361000000000004</v>
      </c>
      <c r="C22" s="71">
        <v>65.941000000000003</v>
      </c>
      <c r="D22" s="71">
        <v>82.837999999999994</v>
      </c>
      <c r="E22" s="71">
        <v>42.591000000000001</v>
      </c>
      <c r="F22" s="71">
        <v>70.572999999999993</v>
      </c>
      <c r="G22" s="71">
        <v>-303.09399999999999</v>
      </c>
      <c r="H22" s="255">
        <v>0</v>
      </c>
      <c r="I22" s="71">
        <v>0</v>
      </c>
      <c r="J22" s="71">
        <v>0</v>
      </c>
      <c r="K22" s="71">
        <v>0</v>
      </c>
      <c r="L22" s="71">
        <v>0</v>
      </c>
      <c r="M22" s="71">
        <v>0</v>
      </c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spans="1:25" s="2" customFormat="1" ht="22" customHeight="1">
      <c r="A23" s="68" t="s">
        <v>7</v>
      </c>
      <c r="B23" s="71">
        <f>B18-B20+B21+B22</f>
        <v>-1407.9380000000003</v>
      </c>
      <c r="C23" s="71">
        <f t="shared" ref="C23:M23" si="8">C18-C20+C21+C22</f>
        <v>-32.195999999999884</v>
      </c>
      <c r="D23" s="71">
        <f t="shared" si="8"/>
        <v>-166.20376209404353</v>
      </c>
      <c r="E23" s="71">
        <f t="shared" si="8"/>
        <v>1073.6359999999997</v>
      </c>
      <c r="F23" s="71">
        <f t="shared" si="8"/>
        <v>1117.4530000000002</v>
      </c>
      <c r="G23" s="71">
        <f t="shared" si="8"/>
        <v>652.78699999999958</v>
      </c>
      <c r="H23" s="255">
        <f t="shared" si="8"/>
        <v>874.78856478263197</v>
      </c>
      <c r="I23" s="71">
        <f t="shared" si="8"/>
        <v>1015.9776824911055</v>
      </c>
      <c r="J23" s="71">
        <f t="shared" si="8"/>
        <v>1111.6299671007428</v>
      </c>
      <c r="K23" s="71">
        <f t="shared" si="8"/>
        <v>1222.7353322379117</v>
      </c>
      <c r="L23" s="71">
        <f t="shared" si="8"/>
        <v>1369.6683191692237</v>
      </c>
      <c r="M23" s="71">
        <f t="shared" si="8"/>
        <v>1471.9063625660328</v>
      </c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spans="1:25" s="5" customFormat="1" ht="22" customHeight="1">
      <c r="A24" s="68" t="s">
        <v>14</v>
      </c>
      <c r="B24" s="71">
        <v>191.572</v>
      </c>
      <c r="C24" s="71">
        <v>-253.41499999999999</v>
      </c>
      <c r="D24" s="71">
        <v>-697.06799999999998</v>
      </c>
      <c r="E24" s="71">
        <v>-157.839</v>
      </c>
      <c r="F24" s="71">
        <v>-52.457000000000001</v>
      </c>
      <c r="G24" s="71">
        <v>240.09299999999999</v>
      </c>
      <c r="H24" s="255">
        <f>0</f>
        <v>0</v>
      </c>
      <c r="I24" s="71">
        <f t="shared" ref="I24:M24" si="9">H24</f>
        <v>0</v>
      </c>
      <c r="J24" s="71">
        <f t="shared" si="9"/>
        <v>0</v>
      </c>
      <c r="K24" s="71">
        <f t="shared" si="9"/>
        <v>0</v>
      </c>
      <c r="L24" s="71">
        <f t="shared" si="9"/>
        <v>0</v>
      </c>
      <c r="M24" s="71">
        <f t="shared" si="9"/>
        <v>0</v>
      </c>
    </row>
    <row r="25" spans="1:25" s="13" customFormat="1" ht="22" customHeight="1">
      <c r="A25" s="64" t="s">
        <v>175</v>
      </c>
      <c r="B25" s="71">
        <v>287.18299999999999</v>
      </c>
      <c r="C25" s="71">
        <v>45.981000000000002</v>
      </c>
      <c r="D25" s="71">
        <v>1266.3620000000001</v>
      </c>
      <c r="E25" s="71">
        <v>-172.744</v>
      </c>
      <c r="F25" s="71">
        <v>-318.05</v>
      </c>
      <c r="G25" s="71">
        <f>-315.01</f>
        <v>-315.01</v>
      </c>
      <c r="H25" s="255">
        <v>0</v>
      </c>
      <c r="I25" s="71">
        <v>0</v>
      </c>
      <c r="J25" s="71">
        <v>0</v>
      </c>
      <c r="K25" s="71">
        <v>0</v>
      </c>
      <c r="L25" s="71">
        <v>0</v>
      </c>
      <c r="M25" s="71">
        <v>0</v>
      </c>
      <c r="N25" s="207"/>
    </row>
    <row r="26" spans="1:25" s="1" customFormat="1" ht="22" customHeight="1">
      <c r="A26" s="241" t="s">
        <v>170</v>
      </c>
      <c r="B26" s="242">
        <f>B23+B24+B25</f>
        <v>-929.18300000000045</v>
      </c>
      <c r="C26" s="242">
        <f t="shared" ref="C26:M26" si="10">C23+C24+C25</f>
        <v>-239.62999999999988</v>
      </c>
      <c r="D26" s="242">
        <f t="shared" si="10"/>
        <v>403.09023790595654</v>
      </c>
      <c r="E26" s="242">
        <f t="shared" si="10"/>
        <v>743.05299999999977</v>
      </c>
      <c r="F26" s="242">
        <f t="shared" si="10"/>
        <v>746.94600000000014</v>
      </c>
      <c r="G26" s="242">
        <f t="shared" si="10"/>
        <v>577.86999999999955</v>
      </c>
      <c r="H26" s="261">
        <f>H23+H24+H25</f>
        <v>874.78856478263197</v>
      </c>
      <c r="I26" s="242">
        <f t="shared" si="10"/>
        <v>1015.9776824911055</v>
      </c>
      <c r="J26" s="242">
        <f t="shared" si="10"/>
        <v>1111.6299671007428</v>
      </c>
      <c r="K26" s="242">
        <f t="shared" si="10"/>
        <v>1222.7353322379117</v>
      </c>
      <c r="L26" s="242">
        <f t="shared" si="10"/>
        <v>1369.6683191692237</v>
      </c>
      <c r="M26" s="242">
        <f t="shared" si="10"/>
        <v>1471.9063625660328</v>
      </c>
    </row>
    <row r="27" spans="1:25" s="4" customFormat="1" ht="22" customHeight="1">
      <c r="A27" s="66"/>
      <c r="B27" s="71"/>
      <c r="C27" s="71"/>
      <c r="D27" s="71"/>
      <c r="E27" s="71"/>
      <c r="F27" s="71"/>
      <c r="G27" s="71"/>
      <c r="H27" s="255"/>
      <c r="I27" s="71"/>
      <c r="J27" s="71"/>
      <c r="K27" s="71"/>
      <c r="L27" s="71"/>
      <c r="M27" s="71"/>
      <c r="N27" s="1"/>
      <c r="O27" s="5"/>
      <c r="P27" s="5"/>
      <c r="Q27" s="5"/>
      <c r="R27" s="5"/>
      <c r="S27" s="2"/>
    </row>
    <row r="28" spans="1:25" s="5" customFormat="1" ht="22" customHeight="1">
      <c r="A28" s="62" t="s">
        <v>11</v>
      </c>
      <c r="B28" s="71">
        <v>1210.556</v>
      </c>
      <c r="C28" s="71">
        <v>1150.6099999999999</v>
      </c>
      <c r="D28" s="71">
        <v>3482.05</v>
      </c>
      <c r="E28" s="71">
        <v>814.12800000000004</v>
      </c>
      <c r="F28" s="178">
        <v>831.09699999999998</v>
      </c>
      <c r="G28" s="71">
        <v>1017.794</v>
      </c>
      <c r="H28" s="255">
        <f>+G28*(1+H10)</f>
        <v>1002.3322696788276</v>
      </c>
      <c r="I28" s="71">
        <f t="shared" ref="I28:M28" si="11">+H28*(1+I10)</f>
        <v>1057.372631426101</v>
      </c>
      <c r="J28" s="71">
        <f t="shared" si="11"/>
        <v>1094.8521032029141</v>
      </c>
      <c r="K28" s="71">
        <f t="shared" si="11"/>
        <v>1136.5093461276904</v>
      </c>
      <c r="L28" s="71">
        <f t="shared" si="11"/>
        <v>1177.021103016885</v>
      </c>
      <c r="M28" s="71">
        <f t="shared" si="11"/>
        <v>1219.095487979627</v>
      </c>
      <c r="N28" s="14"/>
      <c r="O28" s="14"/>
      <c r="P28" s="14"/>
      <c r="Q28" s="14"/>
      <c r="R28" s="14"/>
      <c r="S28" s="2"/>
      <c r="Y28" s="36"/>
    </row>
    <row r="29" spans="1:25" s="5" customFormat="1" ht="22" customHeight="1">
      <c r="A29" s="243" t="s">
        <v>44</v>
      </c>
      <c r="B29" s="139">
        <f t="shared" ref="B29:I29" si="12">B28+B18</f>
        <v>671.66299999999978</v>
      </c>
      <c r="C29" s="139">
        <f t="shared" si="12"/>
        <v>1935.309</v>
      </c>
      <c r="D29" s="139">
        <f>D28+D18</f>
        <v>3851.4192379059568</v>
      </c>
      <c r="E29" s="139">
        <f t="shared" si="12"/>
        <v>2306.498</v>
      </c>
      <c r="F29" s="139">
        <f t="shared" si="12"/>
        <v>2321.9409999999998</v>
      </c>
      <c r="G29" s="139">
        <f t="shared" si="12"/>
        <v>2391.5819999999994</v>
      </c>
      <c r="H29" s="256">
        <f t="shared" si="12"/>
        <v>2317.9758344614597</v>
      </c>
      <c r="I29" s="139">
        <f t="shared" si="12"/>
        <v>2514.2053139172067</v>
      </c>
      <c r="J29" s="139">
        <f t="shared" ref="J29:M29" si="13">J28+J18</f>
        <v>2647.3370703036571</v>
      </c>
      <c r="K29" s="139">
        <f t="shared" si="13"/>
        <v>2800.0996783656019</v>
      </c>
      <c r="L29" s="139">
        <f t="shared" si="13"/>
        <v>2987.5444221861089</v>
      </c>
      <c r="M29" s="139">
        <f t="shared" si="13"/>
        <v>3131.8568505456597</v>
      </c>
      <c r="N29" s="22"/>
      <c r="O29" s="22"/>
      <c r="P29" s="22"/>
      <c r="Q29" s="22"/>
      <c r="R29" s="22"/>
      <c r="S29" s="2"/>
      <c r="Y29" s="38"/>
    </row>
    <row r="30" spans="1:25" s="4" customFormat="1" ht="22" customHeight="1">
      <c r="A30" s="244" t="s">
        <v>12</v>
      </c>
      <c r="B30" s="245">
        <f t="shared" ref="B30:I30" si="14">B29/B9</f>
        <v>0.14125282245605103</v>
      </c>
      <c r="C30" s="245">
        <f t="shared" si="14"/>
        <v>0.21234105563050235</v>
      </c>
      <c r="D30" s="245">
        <f t="shared" si="14"/>
        <v>0.308823856058906</v>
      </c>
      <c r="E30" s="245">
        <f t="shared" si="14"/>
        <v>0.14793579852644015</v>
      </c>
      <c r="F30" s="245">
        <f t="shared" si="14"/>
        <v>0.14048422705817318</v>
      </c>
      <c r="G30" s="245">
        <f t="shared" si="14"/>
        <v>0.14372986025465279</v>
      </c>
      <c r="H30" s="262">
        <f t="shared" si="14"/>
        <v>0.14145516351543641</v>
      </c>
      <c r="I30" s="245">
        <f t="shared" si="14"/>
        <v>0.14544349042148882</v>
      </c>
      <c r="J30" s="245">
        <f t="shared" ref="J30:M30" si="15">J29/J9</f>
        <v>0.14790246005035332</v>
      </c>
      <c r="K30" s="245">
        <f t="shared" si="15"/>
        <v>0.15070306800719999</v>
      </c>
      <c r="L30" s="245">
        <f t="shared" si="15"/>
        <v>0.15525719504014812</v>
      </c>
      <c r="M30" s="245">
        <f t="shared" si="15"/>
        <v>0.15713965415659792</v>
      </c>
      <c r="N30" s="22"/>
      <c r="O30" s="22"/>
      <c r="P30" s="22"/>
      <c r="Q30" s="22"/>
      <c r="R30" s="22"/>
      <c r="S30" s="5"/>
      <c r="W30" s="5"/>
    </row>
    <row r="31" spans="1:25" s="1" customFormat="1" ht="22" customHeight="1">
      <c r="A31" s="65" t="s">
        <v>15</v>
      </c>
      <c r="B31" s="65">
        <f t="shared" ref="B31:M31" si="16">B52*B49</f>
        <v>816.8655</v>
      </c>
      <c r="C31" s="65">
        <f t="shared" si="16"/>
        <v>804.56418000000008</v>
      </c>
      <c r="D31" s="65">
        <f t="shared" si="16"/>
        <v>595.1312640000001</v>
      </c>
      <c r="E31" s="65">
        <f t="shared" si="16"/>
        <v>445.97262000000001</v>
      </c>
      <c r="F31" s="65">
        <f t="shared" si="16"/>
        <v>343.55620800000003</v>
      </c>
      <c r="G31" s="65">
        <f t="shared" si="16"/>
        <v>373.81205999999997</v>
      </c>
      <c r="H31" s="263">
        <f t="shared" si="16"/>
        <v>293.00691599999999</v>
      </c>
      <c r="I31" s="65">
        <f t="shared" si="16"/>
        <v>218.07860099999999</v>
      </c>
      <c r="J31" s="65">
        <f t="shared" si="16"/>
        <v>136.85030399999999</v>
      </c>
      <c r="K31" s="65">
        <f t="shared" si="16"/>
        <v>128.16472100000001</v>
      </c>
      <c r="L31" s="65">
        <f t="shared" si="16"/>
        <v>102.951401</v>
      </c>
      <c r="M31" s="65">
        <f t="shared" si="16"/>
        <v>142.87262400000003</v>
      </c>
      <c r="N31" s="22"/>
      <c r="O31" s="22"/>
      <c r="P31" s="22"/>
      <c r="Q31" s="22"/>
      <c r="R31" s="22"/>
      <c r="S31" s="13"/>
      <c r="W31" s="5"/>
    </row>
    <row r="32" spans="1:25" s="1" customFormat="1" ht="22" customHeight="1">
      <c r="A32" s="62" t="s">
        <v>16</v>
      </c>
      <c r="B32" s="66">
        <v>271</v>
      </c>
      <c r="C32" s="66">
        <v>491</v>
      </c>
      <c r="D32" s="66">
        <v>765</v>
      </c>
      <c r="E32" s="66">
        <v>932</v>
      </c>
      <c r="F32" s="66">
        <v>1200</v>
      </c>
      <c r="G32" s="66">
        <f>1100</f>
        <v>1100</v>
      </c>
      <c r="H32" s="264">
        <f>1050</f>
        <v>1050</v>
      </c>
      <c r="I32" s="75">
        <f>$H$32</f>
        <v>1050</v>
      </c>
      <c r="J32" s="75">
        <f t="shared" ref="J32:M32" si="17">$H$32</f>
        <v>1050</v>
      </c>
      <c r="K32" s="75">
        <f t="shared" si="17"/>
        <v>1050</v>
      </c>
      <c r="L32" s="75">
        <f t="shared" si="17"/>
        <v>1050</v>
      </c>
      <c r="M32" s="75">
        <f t="shared" si="17"/>
        <v>1050</v>
      </c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5" s="1" customFormat="1" ht="22" customHeight="1">
      <c r="A33" s="54" t="s">
        <v>17</v>
      </c>
      <c r="B33" s="54">
        <f>B20</f>
        <v>676.38</v>
      </c>
      <c r="C33" s="54">
        <f t="shared" ref="C33:M33" si="18">C20</f>
        <v>799.59299999999996</v>
      </c>
      <c r="D33" s="54">
        <f t="shared" si="18"/>
        <v>594.95399999999995</v>
      </c>
      <c r="E33" s="54">
        <f t="shared" si="18"/>
        <v>460.29300000000001</v>
      </c>
      <c r="F33" s="54">
        <f t="shared" si="18"/>
        <v>443.23</v>
      </c>
      <c r="G33" s="54">
        <f t="shared" si="18"/>
        <v>419.04199999999997</v>
      </c>
      <c r="H33" s="258">
        <f t="shared" si="18"/>
        <v>440.85500000000002</v>
      </c>
      <c r="I33" s="54">
        <f t="shared" si="18"/>
        <v>440.85500000000002</v>
      </c>
      <c r="J33" s="54">
        <f t="shared" si="18"/>
        <v>440.85500000000002</v>
      </c>
      <c r="K33" s="54">
        <f t="shared" si="18"/>
        <v>440.85500000000002</v>
      </c>
      <c r="L33" s="54">
        <f t="shared" si="18"/>
        <v>440.85500000000002</v>
      </c>
      <c r="M33" s="54">
        <f t="shared" si="18"/>
        <v>440.85500000000002</v>
      </c>
      <c r="N33" s="22"/>
      <c r="O33" s="22"/>
      <c r="P33" s="22"/>
      <c r="Q33" s="22"/>
      <c r="R33" s="22"/>
    </row>
    <row r="34" spans="1:25" s="1" customFormat="1" ht="22" customHeight="1">
      <c r="A34" s="253" t="s">
        <v>18</v>
      </c>
      <c r="B34" s="242">
        <f t="shared" ref="B34:M34" si="19">B29-B31-B32-B33</f>
        <v>-1092.5825000000002</v>
      </c>
      <c r="C34" s="242">
        <f t="shared" si="19"/>
        <v>-159.84818000000007</v>
      </c>
      <c r="D34" s="242">
        <f t="shared" si="19"/>
        <v>1896.3339739059568</v>
      </c>
      <c r="E34" s="242">
        <f t="shared" si="19"/>
        <v>468.23238000000003</v>
      </c>
      <c r="F34" s="242">
        <f t="shared" si="19"/>
        <v>335.15479199999982</v>
      </c>
      <c r="G34" s="242">
        <f t="shared" si="19"/>
        <v>498.72793999999948</v>
      </c>
      <c r="H34" s="261">
        <f t="shared" si="19"/>
        <v>534.11391846145966</v>
      </c>
      <c r="I34" s="242">
        <f t="shared" si="19"/>
        <v>805.27171291720651</v>
      </c>
      <c r="J34" s="242">
        <f t="shared" si="19"/>
        <v>1019.6317663036571</v>
      </c>
      <c r="K34" s="242">
        <f t="shared" si="19"/>
        <v>1181.0799573656018</v>
      </c>
      <c r="L34" s="242">
        <f t="shared" si="19"/>
        <v>1393.7380211861091</v>
      </c>
      <c r="M34" s="242">
        <f t="shared" si="19"/>
        <v>1498.1292265456595</v>
      </c>
      <c r="N34" s="22"/>
      <c r="O34" s="22"/>
      <c r="P34" s="22"/>
      <c r="Q34" s="22"/>
      <c r="R34" s="22"/>
    </row>
    <row r="35" spans="1:25" s="4" customFormat="1" ht="22" customHeight="1">
      <c r="A35" s="65" t="s">
        <v>188</v>
      </c>
      <c r="B35" s="54"/>
      <c r="C35" s="54"/>
      <c r="D35" s="54"/>
      <c r="E35" s="54"/>
      <c r="F35" s="54"/>
      <c r="G35" s="54">
        <f>G32*0.6</f>
        <v>660</v>
      </c>
      <c r="H35" s="54"/>
      <c r="I35" s="78"/>
      <c r="J35" s="78"/>
      <c r="K35" s="78"/>
      <c r="L35" s="78"/>
      <c r="M35" s="78"/>
      <c r="N35" s="27"/>
      <c r="O35" s="27"/>
      <c r="P35" s="27"/>
      <c r="Q35" s="27"/>
      <c r="R35" s="27"/>
      <c r="S35" s="15"/>
      <c r="T35" s="27"/>
      <c r="U35" s="27"/>
      <c r="V35" s="27"/>
    </row>
    <row r="36" spans="1:25" s="1" customFormat="1" ht="22" customHeight="1">
      <c r="A36" s="65" t="s">
        <v>187</v>
      </c>
      <c r="B36" s="5"/>
      <c r="C36" s="5"/>
      <c r="D36" s="5"/>
      <c r="E36" s="5"/>
      <c r="F36" s="5"/>
      <c r="G36" s="65">
        <f>G29-G31-G35</f>
        <v>1357.7699399999995</v>
      </c>
      <c r="H36" s="5"/>
      <c r="I36" s="5"/>
      <c r="J36" s="5"/>
      <c r="K36" s="5"/>
      <c r="L36" s="5"/>
      <c r="M36" s="5"/>
      <c r="N36" s="24"/>
      <c r="O36" s="21"/>
      <c r="P36" s="21"/>
      <c r="Q36" s="21"/>
      <c r="R36" s="21"/>
      <c r="S36" s="21"/>
      <c r="T36" s="21"/>
      <c r="U36" s="21"/>
      <c r="V36" s="21"/>
      <c r="W36" s="55"/>
    </row>
    <row r="37" spans="1:25" s="5" customFormat="1" ht="22" customHeight="1">
      <c r="N37" s="22"/>
      <c r="O37" s="22"/>
      <c r="P37" s="22"/>
      <c r="Q37" s="22"/>
      <c r="R37" s="22"/>
    </row>
    <row r="38" spans="1:25" s="5" customFormat="1" ht="22" customHeight="1">
      <c r="A38" s="62" t="s">
        <v>25</v>
      </c>
      <c r="B38" s="71">
        <v>751.00199999999995</v>
      </c>
      <c r="C38" s="71">
        <v>870.779</v>
      </c>
      <c r="D38" s="71">
        <v>1986.8530000000001</v>
      </c>
      <c r="E38" s="71">
        <v>2306.64</v>
      </c>
      <c r="F38" s="71">
        <v>2300.373</v>
      </c>
      <c r="G38" s="71">
        <f t="shared" ref="G38:M38" si="20">F38*(1+G10)</f>
        <v>2315.863299991574</v>
      </c>
      <c r="H38" s="71">
        <f t="shared" si="20"/>
        <v>2280.6820611503449</v>
      </c>
      <c r="I38" s="71">
        <f t="shared" si="20"/>
        <v>2405.9195392537431</v>
      </c>
      <c r="J38" s="71">
        <f t="shared" si="20"/>
        <v>2491.1994025571144</v>
      </c>
      <c r="K38" s="71">
        <f t="shared" si="20"/>
        <v>2585.9852630242849</v>
      </c>
      <c r="L38" s="71">
        <f t="shared" si="20"/>
        <v>2678.1647128912191</v>
      </c>
      <c r="M38" s="71">
        <f t="shared" si="20"/>
        <v>2773.899728036653</v>
      </c>
      <c r="N38" s="78"/>
      <c r="O38" s="78"/>
      <c r="P38" s="78"/>
      <c r="Q38" s="78"/>
      <c r="R38" s="78"/>
      <c r="S38" s="66"/>
      <c r="T38" s="65"/>
      <c r="U38" s="65"/>
      <c r="V38" s="65"/>
      <c r="W38" s="65"/>
      <c r="X38" s="65"/>
      <c r="Y38" s="65"/>
    </row>
    <row r="39" spans="1:25" s="4" customFormat="1" ht="22" customHeight="1" thickBot="1">
      <c r="A39" s="54"/>
      <c r="B39" s="66"/>
      <c r="C39" s="66"/>
      <c r="D39" s="66"/>
      <c r="E39" s="66"/>
      <c r="F39" s="66"/>
      <c r="G39" s="66"/>
      <c r="H39" s="66"/>
      <c r="I39" s="61"/>
      <c r="J39" s="78"/>
      <c r="K39" s="62"/>
      <c r="L39" s="78"/>
      <c r="M39" s="78"/>
      <c r="N39" s="22"/>
      <c r="O39" s="22"/>
      <c r="P39" s="22"/>
      <c r="Q39" s="22"/>
      <c r="R39" s="22"/>
      <c r="S39" s="1"/>
    </row>
    <row r="40" spans="1:25" s="4" customFormat="1" ht="22" customHeight="1">
      <c r="A40" s="114" t="s">
        <v>19</v>
      </c>
      <c r="B40" s="115"/>
      <c r="C40" s="115"/>
      <c r="D40" s="115"/>
      <c r="E40" s="115"/>
      <c r="F40" s="116"/>
      <c r="G40" s="116"/>
      <c r="H40" s="116"/>
      <c r="I40" s="115"/>
      <c r="J40" s="213"/>
      <c r="K40" s="203"/>
      <c r="L40" s="213"/>
      <c r="M40" s="214"/>
      <c r="N40" s="14"/>
      <c r="O40" s="14"/>
      <c r="P40" s="14"/>
      <c r="Q40" s="14"/>
      <c r="R40" s="14"/>
      <c r="S40" s="14"/>
      <c r="T40" s="14"/>
      <c r="U40" s="14"/>
      <c r="V40" s="14"/>
      <c r="W40" s="14"/>
      <c r="Y40" s="5"/>
    </row>
    <row r="41" spans="1:25" s="5" customFormat="1" ht="22" customHeight="1">
      <c r="A41" s="105" t="s">
        <v>20</v>
      </c>
      <c r="B41" s="106">
        <f>B18/B20</f>
        <v>-0.79673112747272279</v>
      </c>
      <c r="C41" s="106">
        <f t="shared" ref="C41:M41" si="21">C18/C20</f>
        <v>0.98137302352571887</v>
      </c>
      <c r="D41" s="106">
        <f t="shared" si="21"/>
        <v>0.62083663259000943</v>
      </c>
      <c r="E41" s="106">
        <f t="shared" si="21"/>
        <v>3.2422174571414293</v>
      </c>
      <c r="F41" s="106">
        <f t="shared" si="21"/>
        <v>3.3635900097015092</v>
      </c>
      <c r="G41" s="106">
        <f t="shared" si="21"/>
        <v>3.278401687658993</v>
      </c>
      <c r="H41" s="106">
        <f t="shared" si="21"/>
        <v>2.9842999734212654</v>
      </c>
      <c r="I41" s="106">
        <f t="shared" si="21"/>
        <v>3.3045620044937802</v>
      </c>
      <c r="J41" s="106">
        <f t="shared" si="21"/>
        <v>3.5215319483747325</v>
      </c>
      <c r="K41" s="106">
        <f t="shared" si="21"/>
        <v>3.7735544163906765</v>
      </c>
      <c r="L41" s="106">
        <f t="shared" si="21"/>
        <v>4.1068453781157608</v>
      </c>
      <c r="M41" s="107">
        <f t="shared" si="21"/>
        <v>4.3387539271779447</v>
      </c>
      <c r="N41" s="13"/>
      <c r="O41" s="13"/>
      <c r="P41" s="13"/>
      <c r="Q41" s="13"/>
      <c r="R41" s="13"/>
      <c r="S41" s="13"/>
      <c r="T41" s="13"/>
      <c r="U41" s="13"/>
      <c r="V41" s="13"/>
      <c r="W41" s="13"/>
    </row>
    <row r="42" spans="1:25" s="5" customFormat="1" ht="22" customHeight="1">
      <c r="A42" s="105" t="s">
        <v>21</v>
      </c>
      <c r="B42" s="99">
        <f>B29/B20</f>
        <v>0.99302610958337001</v>
      </c>
      <c r="C42" s="99">
        <f t="shared" ref="C42:M42" si="22">C29/C20</f>
        <v>2.4203676120226167</v>
      </c>
      <c r="D42" s="99">
        <f t="shared" si="22"/>
        <v>6.4734739793428684</v>
      </c>
      <c r="E42" s="99">
        <f t="shared" si="22"/>
        <v>5.0109343396488759</v>
      </c>
      <c r="F42" s="99">
        <f t="shared" si="22"/>
        <v>5.2386819484240679</v>
      </c>
      <c r="G42" s="99">
        <f t="shared" si="22"/>
        <v>5.7072608473613613</v>
      </c>
      <c r="H42" s="99">
        <f t="shared" si="22"/>
        <v>5.2579098217360798</v>
      </c>
      <c r="I42" s="99">
        <f t="shared" si="22"/>
        <v>5.7030209794993967</v>
      </c>
      <c r="J42" s="99">
        <f t="shared" si="22"/>
        <v>6.0050063406418372</v>
      </c>
      <c r="K42" s="99">
        <f t="shared" si="22"/>
        <v>6.3515207457454306</v>
      </c>
      <c r="L42" s="99">
        <f t="shared" si="22"/>
        <v>6.7767053162289388</v>
      </c>
      <c r="M42" s="108">
        <f t="shared" si="22"/>
        <v>7.1040520138042202</v>
      </c>
      <c r="N42" s="18"/>
      <c r="O42" s="29"/>
      <c r="P42" s="29"/>
      <c r="Q42" s="29"/>
      <c r="R42" s="29"/>
      <c r="S42" s="4"/>
    </row>
    <row r="43" spans="1:25" s="4" customFormat="1" ht="22" customHeight="1">
      <c r="A43" s="109" t="s">
        <v>22</v>
      </c>
      <c r="B43" s="110">
        <f t="shared" ref="B43:M43" si="23">(B29-B32)/B20</f>
        <v>0.59236376001655844</v>
      </c>
      <c r="C43" s="110">
        <f t="shared" si="23"/>
        <v>1.8063052077744552</v>
      </c>
      <c r="D43" s="110">
        <f t="shared" si="23"/>
        <v>5.1876602861833971</v>
      </c>
      <c r="E43" s="110">
        <f t="shared" si="23"/>
        <v>2.9861370909399012</v>
      </c>
      <c r="F43" s="110">
        <f t="shared" si="23"/>
        <v>2.5312839834848719</v>
      </c>
      <c r="G43" s="110">
        <f t="shared" si="23"/>
        <v>3.0822256480257337</v>
      </c>
      <c r="H43" s="110">
        <f t="shared" si="23"/>
        <v>2.8761743304747811</v>
      </c>
      <c r="I43" s="110">
        <f t="shared" si="23"/>
        <v>3.321285488238098</v>
      </c>
      <c r="J43" s="110">
        <f t="shared" si="23"/>
        <v>3.6232708493805381</v>
      </c>
      <c r="K43" s="110">
        <f t="shared" si="23"/>
        <v>3.9697852544841314</v>
      </c>
      <c r="L43" s="110">
        <f t="shared" si="23"/>
        <v>4.3949698249676397</v>
      </c>
      <c r="M43" s="111">
        <f t="shared" si="23"/>
        <v>4.7223165225429211</v>
      </c>
      <c r="N43" s="18"/>
      <c r="O43" s="29"/>
      <c r="P43" s="29"/>
      <c r="Q43" s="29"/>
      <c r="R43" s="29"/>
      <c r="S43" s="1"/>
    </row>
    <row r="44" spans="1:25" s="1" customFormat="1" ht="22" customHeight="1">
      <c r="A44" s="112" t="s">
        <v>23</v>
      </c>
      <c r="B44" s="99">
        <f t="shared" ref="B44:M44" si="24">B52/(B29+B38)</f>
        <v>8.6996938843649083</v>
      </c>
      <c r="C44" s="99">
        <f t="shared" si="24"/>
        <v>4.5511259803683997</v>
      </c>
      <c r="D44" s="99">
        <f t="shared" si="24"/>
        <v>1.3068743095708486</v>
      </c>
      <c r="E44" s="99">
        <f t="shared" si="24"/>
        <v>1.6112409817352094</v>
      </c>
      <c r="F44" s="99">
        <f t="shared" si="24"/>
        <v>1.376399785908097</v>
      </c>
      <c r="G44" s="99">
        <f t="shared" si="24"/>
        <v>1.3234781506672317</v>
      </c>
      <c r="H44" s="99">
        <f t="shared" si="24"/>
        <v>1.179921212486305</v>
      </c>
      <c r="I44" s="99">
        <f t="shared" si="24"/>
        <v>0.8690940022069048</v>
      </c>
      <c r="J44" s="99">
        <f t="shared" si="24"/>
        <v>0.55483657945367071</v>
      </c>
      <c r="K44" s="99">
        <f t="shared" si="24"/>
        <v>0.39009058023838339</v>
      </c>
      <c r="L44" s="99">
        <f t="shared" si="24"/>
        <v>0.37083601538809385</v>
      </c>
      <c r="M44" s="108">
        <f t="shared" si="24"/>
        <v>0.355766102453272</v>
      </c>
      <c r="N44" s="18"/>
      <c r="O44" s="29"/>
      <c r="Q44" s="29"/>
      <c r="R44" s="29"/>
      <c r="S44" s="5"/>
    </row>
    <row r="45" spans="1:25" s="5" customFormat="1" ht="22" customHeight="1">
      <c r="A45" s="109" t="s">
        <v>182</v>
      </c>
      <c r="B45" s="106">
        <f t="shared" ref="B45:M45" si="25">B58/(B29+B38)</f>
        <v>14.597158853278883</v>
      </c>
      <c r="C45" s="106">
        <f t="shared" si="25"/>
        <v>8.7571466040979473</v>
      </c>
      <c r="D45" s="106">
        <f t="shared" si="25"/>
        <v>5.6145355448099279</v>
      </c>
      <c r="E45" s="106">
        <f t="shared" si="25"/>
        <v>7.0581762349186175</v>
      </c>
      <c r="F45" s="106">
        <f t="shared" si="25"/>
        <v>6.8014182939540664</v>
      </c>
      <c r="G45" s="106">
        <f t="shared" si="25"/>
        <v>6.6262996194678747</v>
      </c>
      <c r="H45" s="106">
        <f t="shared" si="25"/>
        <v>6.6283474494634218</v>
      </c>
      <c r="I45" s="106">
        <f t="shared" si="25"/>
        <v>5.9566565861073322</v>
      </c>
      <c r="J45" s="106">
        <f t="shared" si="25"/>
        <v>5.4232547786056271</v>
      </c>
      <c r="K45" s="106">
        <f t="shared" si="25"/>
        <v>5.0380823802925292</v>
      </c>
      <c r="L45" s="106">
        <f t="shared" si="25"/>
        <v>4.7881981051407614</v>
      </c>
      <c r="M45" s="107">
        <f t="shared" si="25"/>
        <v>4.5933553579146773</v>
      </c>
      <c r="N45" s="19"/>
      <c r="O45" s="19"/>
      <c r="P45" s="19"/>
      <c r="Q45" s="19"/>
      <c r="R45" s="19"/>
      <c r="S45" s="8"/>
      <c r="T45" s="19"/>
      <c r="U45" s="19"/>
      <c r="V45" s="19"/>
      <c r="W45" s="19"/>
    </row>
    <row r="46" spans="1:25" s="6" customFormat="1" ht="22" customHeight="1" thickBot="1">
      <c r="A46" s="113" t="s">
        <v>24</v>
      </c>
      <c r="B46" s="211">
        <f t="shared" ref="B46:M46" si="26">B34/B58</f>
        <v>-5.2611811882842044E-2</v>
      </c>
      <c r="C46" s="211">
        <f t="shared" si="26"/>
        <v>-6.5049473974298335E-3</v>
      </c>
      <c r="D46" s="211">
        <f t="shared" si="26"/>
        <v>5.7851769597151902E-2</v>
      </c>
      <c r="E46" s="211">
        <f t="shared" si="26"/>
        <v>1.4380450745279359E-2</v>
      </c>
      <c r="F46" s="211">
        <f t="shared" si="26"/>
        <v>1.0660719184767386E-2</v>
      </c>
      <c r="G46" s="211">
        <f t="shared" si="26"/>
        <v>1.5988486241904121E-2</v>
      </c>
      <c r="H46" s="211">
        <f t="shared" si="26"/>
        <v>1.7522558849646146E-2</v>
      </c>
      <c r="I46" s="211">
        <f t="shared" si="26"/>
        <v>2.7476648459409246E-2</v>
      </c>
      <c r="J46" s="211">
        <f t="shared" si="26"/>
        <v>3.6588441107039328E-2</v>
      </c>
      <c r="K46" s="211">
        <f t="shared" si="26"/>
        <v>4.3525206166846145E-2</v>
      </c>
      <c r="L46" s="211">
        <f t="shared" si="26"/>
        <v>5.1375346297475463E-2</v>
      </c>
      <c r="M46" s="212">
        <f t="shared" si="26"/>
        <v>5.5226012768144879E-2</v>
      </c>
      <c r="N46" s="30"/>
      <c r="O46" s="30"/>
      <c r="P46" s="30"/>
      <c r="Q46" s="30"/>
      <c r="R46" s="30"/>
      <c r="S46" s="4"/>
      <c r="T46" s="29"/>
      <c r="U46" s="29"/>
    </row>
    <row r="47" spans="1:25" s="6" customFormat="1" ht="22" customHeight="1">
      <c r="A47" s="54"/>
      <c r="B47" s="54"/>
      <c r="C47" s="54"/>
      <c r="D47" s="54"/>
      <c r="E47" s="54"/>
      <c r="F47" s="54"/>
      <c r="G47" s="54"/>
      <c r="H47" s="54"/>
      <c r="I47" s="215"/>
      <c r="J47" s="166"/>
      <c r="K47" s="166"/>
      <c r="L47" s="166"/>
      <c r="M47" s="166"/>
      <c r="N47" s="17"/>
      <c r="O47" s="17"/>
      <c r="P47" s="17"/>
      <c r="Q47" s="17"/>
      <c r="R47" s="17"/>
      <c r="S47" s="17"/>
      <c r="T47" s="17"/>
      <c r="U47" s="17"/>
      <c r="V47" s="17"/>
      <c r="W47" s="17"/>
    </row>
    <row r="48" spans="1:25" s="6" customFormat="1" ht="22" customHeight="1">
      <c r="A48" s="81" t="s">
        <v>30</v>
      </c>
      <c r="B48" s="65"/>
      <c r="C48" s="65"/>
      <c r="D48" s="65"/>
      <c r="E48" s="65"/>
      <c r="F48" s="65"/>
      <c r="G48" s="65"/>
      <c r="H48" s="65"/>
      <c r="I48" s="85"/>
      <c r="J48" s="85"/>
      <c r="K48" s="85"/>
      <c r="L48" s="85"/>
      <c r="M48" s="85"/>
      <c r="N48" s="19"/>
      <c r="O48" s="19"/>
      <c r="P48" s="19"/>
      <c r="Q48" s="19"/>
      <c r="R48" s="19"/>
      <c r="S48" s="8"/>
      <c r="T48" s="19"/>
      <c r="U48" s="19"/>
      <c r="V48" s="19"/>
      <c r="W48" s="19"/>
    </row>
    <row r="49" spans="1:24" s="6" customFormat="1" ht="22" customHeight="1">
      <c r="A49" s="67" t="s">
        <v>26</v>
      </c>
      <c r="B49" s="84">
        <v>6.6000000000000003E-2</v>
      </c>
      <c r="C49" s="84">
        <v>6.3E-2</v>
      </c>
      <c r="D49" s="84">
        <v>7.8E-2</v>
      </c>
      <c r="E49" s="84">
        <v>0.06</v>
      </c>
      <c r="F49" s="84">
        <v>5.3999999999999999E-2</v>
      </c>
      <c r="G49" s="84">
        <v>0.06</v>
      </c>
      <c r="H49" s="84">
        <v>5.3999999999999999E-2</v>
      </c>
      <c r="I49" s="84">
        <v>5.0999999999999997E-2</v>
      </c>
      <c r="J49" s="79">
        <v>4.8000000000000001E-2</v>
      </c>
      <c r="K49" s="73">
        <v>6.0999999999999999E-2</v>
      </c>
      <c r="L49" s="73">
        <v>4.9000000000000002E-2</v>
      </c>
      <c r="M49" s="73">
        <v>6.8000000000000005E-2</v>
      </c>
      <c r="N49" s="23"/>
      <c r="S49" s="5"/>
    </row>
    <row r="50" spans="1:24" s="6" customFormat="1" ht="22" customHeight="1">
      <c r="A50" s="67" t="s">
        <v>27</v>
      </c>
      <c r="B50" s="71">
        <v>12376.683999999999</v>
      </c>
      <c r="C50" s="83">
        <v>11770.797</v>
      </c>
      <c r="D50" s="83">
        <v>6343.81</v>
      </c>
      <c r="E50" s="83">
        <v>7432.817</v>
      </c>
      <c r="F50" s="83">
        <v>6362.098</v>
      </c>
      <c r="G50" s="83">
        <v>6230.1409999999996</v>
      </c>
      <c r="H50" s="83">
        <v>5426</v>
      </c>
      <c r="I50" s="83">
        <f>H50-'MGM Bond'!D6-'MGM Bond'!D7</f>
        <v>4276</v>
      </c>
      <c r="J50" s="71">
        <f>I50-'MGM Bond'!D8-'MGM Bond'!D9</f>
        <v>2851</v>
      </c>
      <c r="K50" s="71">
        <f>J50-'MGM Bond'!D10</f>
        <v>2101</v>
      </c>
      <c r="L50" s="71">
        <f>K50</f>
        <v>2101</v>
      </c>
      <c r="M50" s="71">
        <f>L50</f>
        <v>2101</v>
      </c>
      <c r="N50" s="14"/>
      <c r="O50" s="14"/>
      <c r="P50" s="14"/>
      <c r="Q50" s="14"/>
      <c r="R50" s="14"/>
      <c r="S50" s="14"/>
      <c r="T50" s="14"/>
      <c r="U50" s="14"/>
      <c r="V50" s="14"/>
      <c r="W50" s="14"/>
    </row>
    <row r="51" spans="1:24" s="6" customFormat="1" ht="22" customHeight="1">
      <c r="A51" s="65" t="s">
        <v>28</v>
      </c>
      <c r="B51" s="85">
        <v>0</v>
      </c>
      <c r="C51" s="85">
        <v>1000</v>
      </c>
      <c r="D51" s="85">
        <v>1286</v>
      </c>
      <c r="E51" s="85">
        <v>0</v>
      </c>
      <c r="F51" s="85">
        <v>0</v>
      </c>
      <c r="G51" s="85">
        <v>0</v>
      </c>
      <c r="H51" s="85">
        <v>0</v>
      </c>
      <c r="I51" s="85">
        <v>0</v>
      </c>
      <c r="J51" s="85">
        <v>0</v>
      </c>
      <c r="K51" s="85">
        <v>0</v>
      </c>
      <c r="L51" s="85">
        <v>0</v>
      </c>
      <c r="M51" s="85">
        <v>0</v>
      </c>
      <c r="N51" s="23"/>
      <c r="S51" s="1"/>
    </row>
    <row r="52" spans="1:24" s="6" customFormat="1" ht="22" customHeight="1">
      <c r="A52" s="67" t="s">
        <v>29</v>
      </c>
      <c r="B52" s="87">
        <f>SUM(B49:B51)</f>
        <v>12376.75</v>
      </c>
      <c r="C52" s="87">
        <f t="shared" ref="C52:M52" si="27">SUM(C49:C51)</f>
        <v>12770.86</v>
      </c>
      <c r="D52" s="87">
        <f t="shared" si="27"/>
        <v>7629.8880000000008</v>
      </c>
      <c r="E52" s="87">
        <f t="shared" si="27"/>
        <v>7432.8770000000004</v>
      </c>
      <c r="F52" s="87">
        <f>SUM(F49:F51)</f>
        <v>6362.152</v>
      </c>
      <c r="G52" s="87">
        <f t="shared" si="27"/>
        <v>6230.201</v>
      </c>
      <c r="H52" s="87">
        <f t="shared" si="27"/>
        <v>5426.0540000000001</v>
      </c>
      <c r="I52" s="87">
        <f t="shared" si="27"/>
        <v>4276.0510000000004</v>
      </c>
      <c r="J52" s="87">
        <f t="shared" si="27"/>
        <v>2851.0479999999998</v>
      </c>
      <c r="K52" s="87">
        <f>SUM(K49:K51)</f>
        <v>2101.0610000000001</v>
      </c>
      <c r="L52" s="87">
        <f t="shared" si="27"/>
        <v>2101.049</v>
      </c>
      <c r="M52" s="87">
        <f t="shared" si="27"/>
        <v>2101.0680000000002</v>
      </c>
      <c r="N52" s="27"/>
      <c r="O52" s="27"/>
      <c r="P52" s="27"/>
      <c r="Q52" s="27"/>
      <c r="R52" s="27"/>
      <c r="S52" s="15"/>
      <c r="T52" s="27"/>
      <c r="U52" s="27"/>
      <c r="V52" s="27"/>
      <c r="W52" s="27"/>
    </row>
    <row r="53" spans="1:24" s="6" customFormat="1" ht="22" customHeight="1">
      <c r="A53" s="67" t="s">
        <v>32</v>
      </c>
      <c r="B53" s="67"/>
      <c r="C53" s="71"/>
      <c r="D53" s="71"/>
      <c r="E53" s="71"/>
      <c r="F53" s="71"/>
      <c r="G53" s="71"/>
      <c r="H53" s="71"/>
      <c r="I53" s="71"/>
      <c r="J53" s="65"/>
      <c r="K53" s="208"/>
      <c r="L53" s="208"/>
      <c r="M53" s="208"/>
      <c r="N53" s="23"/>
    </row>
    <row r="54" spans="1:24" s="6" customFormat="1" ht="22" customHeight="1">
      <c r="A54" s="67" t="s">
        <v>31</v>
      </c>
      <c r="B54" s="71">
        <v>8390.1170000000002</v>
      </c>
      <c r="C54" s="71">
        <v>11802.464</v>
      </c>
      <c r="D54" s="87">
        <v>25149.298999999999</v>
      </c>
      <c r="E54" s="87">
        <v>25127.464</v>
      </c>
      <c r="F54" s="87">
        <v>25076.138999999999</v>
      </c>
      <c r="G54" s="87">
        <v>24962.741999999998</v>
      </c>
      <c r="H54" s="87">
        <f t="shared" ref="H54:M54" si="28">AVERAGE(E54:G54)</f>
        <v>25055.448333333334</v>
      </c>
      <c r="I54" s="87">
        <f t="shared" si="28"/>
        <v>25031.443111111108</v>
      </c>
      <c r="J54" s="87">
        <f t="shared" si="28"/>
        <v>25016.54448148148</v>
      </c>
      <c r="K54" s="87">
        <f t="shared" si="28"/>
        <v>25034.478641975307</v>
      </c>
      <c r="L54" s="87">
        <f t="shared" si="28"/>
        <v>25027.488744855964</v>
      </c>
      <c r="M54" s="87">
        <f t="shared" si="28"/>
        <v>25026.170622770918</v>
      </c>
      <c r="N54" s="19"/>
    </row>
    <row r="55" spans="1:24" s="6" customFormat="1" ht="22" customHeight="1">
      <c r="A55" s="67"/>
      <c r="B55" s="88"/>
      <c r="C55" s="88"/>
      <c r="D55" s="88"/>
      <c r="E55" s="88"/>
      <c r="F55" s="88"/>
      <c r="G55" s="88"/>
      <c r="H55" s="88"/>
      <c r="I55" s="88"/>
      <c r="J55" s="89"/>
      <c r="K55" s="89"/>
      <c r="L55" s="89"/>
      <c r="M55" s="89"/>
      <c r="N55" s="16"/>
      <c r="O55" s="16" t="s">
        <v>176</v>
      </c>
      <c r="P55" s="16"/>
      <c r="Q55" s="16"/>
      <c r="R55" s="16"/>
      <c r="S55" s="16"/>
      <c r="T55" s="16"/>
      <c r="U55" s="16"/>
      <c r="V55" s="16"/>
      <c r="W55" s="16"/>
    </row>
    <row r="56" spans="1:24" s="6" customFormat="1" ht="22" customHeight="1">
      <c r="A56" s="66" t="s">
        <v>33</v>
      </c>
      <c r="B56" s="89">
        <v>0</v>
      </c>
      <c r="C56" s="89">
        <v>0</v>
      </c>
      <c r="D56" s="89">
        <v>0</v>
      </c>
      <c r="E56" s="89">
        <v>0</v>
      </c>
      <c r="F56" s="89">
        <v>0</v>
      </c>
      <c r="G56" s="89">
        <v>0</v>
      </c>
      <c r="H56" s="89">
        <v>0</v>
      </c>
      <c r="I56" s="89">
        <v>0</v>
      </c>
      <c r="J56" s="89">
        <v>0</v>
      </c>
      <c r="K56" s="89">
        <v>0</v>
      </c>
      <c r="L56" s="89">
        <v>0</v>
      </c>
      <c r="M56" s="89">
        <v>0</v>
      </c>
      <c r="N56" s="32"/>
      <c r="O56" s="6" t="s">
        <v>177</v>
      </c>
      <c r="Q56" s="5"/>
      <c r="R56" s="5"/>
    </row>
    <row r="57" spans="1:24" s="6" customFormat="1" ht="22" customHeight="1">
      <c r="A57" s="67"/>
      <c r="B57" s="67"/>
      <c r="C57" s="67"/>
      <c r="D57" s="67"/>
      <c r="E57" s="67"/>
      <c r="F57" s="85"/>
      <c r="G57" s="85"/>
      <c r="H57" s="85"/>
      <c r="I57" s="85"/>
      <c r="J57" s="67"/>
      <c r="K57" s="67"/>
      <c r="L57" s="67"/>
      <c r="M57" s="67"/>
    </row>
    <row r="58" spans="1:24" s="6" customFormat="1" ht="22" customHeight="1">
      <c r="A58" s="67" t="s">
        <v>34</v>
      </c>
      <c r="B58" s="71">
        <f>B52+B54+B56</f>
        <v>20766.866999999998</v>
      </c>
      <c r="C58" s="71">
        <f>C52+C54+C56</f>
        <v>24573.324000000001</v>
      </c>
      <c r="D58" s="71">
        <f>D52+D54+D56</f>
        <v>32779.186999999998</v>
      </c>
      <c r="E58" s="71">
        <f t="shared" ref="E58:F58" si="29">E52+E54+E56</f>
        <v>32560.341</v>
      </c>
      <c r="F58" s="71">
        <f t="shared" si="29"/>
        <v>31438.290999999997</v>
      </c>
      <c r="G58" s="71">
        <f>G52+G54+G56</f>
        <v>31192.942999999999</v>
      </c>
      <c r="H58" s="71">
        <f t="shared" ref="H58:M58" si="30">H52+H54+H56</f>
        <v>30481.502333333334</v>
      </c>
      <c r="I58" s="71">
        <f t="shared" si="30"/>
        <v>29307.494111111107</v>
      </c>
      <c r="J58" s="71">
        <f t="shared" si="30"/>
        <v>27867.592481481479</v>
      </c>
      <c r="K58" s="71">
        <f t="shared" si="30"/>
        <v>27135.539641975309</v>
      </c>
      <c r="L58" s="71">
        <f t="shared" si="30"/>
        <v>27128.537744855963</v>
      </c>
      <c r="M58" s="71">
        <f t="shared" si="30"/>
        <v>27127.238622770918</v>
      </c>
      <c r="O58" s="29" t="s">
        <v>171</v>
      </c>
    </row>
    <row r="59" spans="1:24" s="6" customFormat="1" ht="22" customHeight="1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5"/>
    </row>
    <row r="60" spans="1:24" s="6" customFormat="1" ht="22" customHeight="1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2"/>
      <c r="O60" s="2"/>
      <c r="P60" s="2"/>
      <c r="Q60" s="2"/>
      <c r="R60" s="2"/>
      <c r="S60" s="2"/>
      <c r="T60" s="2"/>
      <c r="U60" s="2"/>
      <c r="V60" s="2"/>
      <c r="W60" s="35"/>
      <c r="X60" s="2"/>
    </row>
    <row r="61" spans="1:24" s="6" customFormat="1" ht="22" customHeight="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2"/>
      <c r="O61" s="2"/>
      <c r="P61" s="2"/>
      <c r="Q61" s="2"/>
      <c r="R61" s="2"/>
      <c r="S61" s="2"/>
      <c r="T61" s="2"/>
      <c r="U61" s="2"/>
      <c r="V61" s="2"/>
      <c r="W61" s="35"/>
      <c r="X61" s="2"/>
    </row>
    <row r="62" spans="1:24" s="6" customFormat="1" ht="22" customHeight="1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2"/>
      <c r="O62" s="2"/>
      <c r="P62" s="2"/>
      <c r="Q62" s="2"/>
      <c r="R62" s="2"/>
      <c r="S62" s="2"/>
      <c r="T62" s="2"/>
      <c r="U62" s="2"/>
      <c r="V62" s="2"/>
      <c r="W62" s="35"/>
      <c r="X62" s="2"/>
    </row>
    <row r="63" spans="1:24" s="6" customFormat="1" ht="22" customHeight="1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2"/>
      <c r="O63" s="2"/>
      <c r="P63" s="2"/>
      <c r="Q63" s="2"/>
      <c r="R63" s="2"/>
      <c r="S63" s="2"/>
      <c r="T63" s="2"/>
      <c r="U63" s="2"/>
      <c r="V63" s="2"/>
      <c r="W63" s="35"/>
      <c r="X63" s="2"/>
    </row>
    <row r="64" spans="1:24" s="6" customFormat="1" ht="22" customHeight="1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2"/>
      <c r="O64" s="2"/>
      <c r="P64" s="2"/>
      <c r="Q64" s="2"/>
      <c r="R64" s="2"/>
      <c r="S64" s="2"/>
      <c r="T64" s="2"/>
      <c r="U64" s="2"/>
      <c r="V64" s="2"/>
      <c r="W64" s="35"/>
      <c r="X64" s="2"/>
    </row>
    <row r="65" spans="1:24" s="6" customFormat="1" ht="22" customHeight="1">
      <c r="A65" s="68"/>
      <c r="B65" s="65"/>
      <c r="C65" s="79"/>
      <c r="D65" s="79"/>
      <c r="E65" s="79"/>
      <c r="F65" s="79"/>
      <c r="G65" s="79"/>
      <c r="H65" s="79"/>
      <c r="I65" s="79"/>
      <c r="J65" s="79"/>
      <c r="K65" s="64"/>
      <c r="L65" s="64"/>
      <c r="M65" s="64"/>
      <c r="N65" s="2"/>
      <c r="O65" s="2"/>
      <c r="P65" s="2"/>
      <c r="Q65" s="2"/>
      <c r="R65" s="2"/>
      <c r="S65" s="2"/>
      <c r="T65" s="2"/>
      <c r="U65" s="2"/>
      <c r="V65" s="2"/>
      <c r="W65" s="35"/>
      <c r="X65" s="2"/>
    </row>
    <row r="66" spans="1:24" s="6" customFormat="1" ht="22" customHeight="1">
      <c r="A66" s="68"/>
      <c r="B66" s="65"/>
      <c r="C66" s="79"/>
      <c r="D66" s="79"/>
      <c r="E66" s="79"/>
      <c r="F66" s="79"/>
      <c r="G66" s="79"/>
      <c r="H66" s="79"/>
      <c r="I66" s="79"/>
      <c r="J66" s="67"/>
      <c r="K66" s="64"/>
      <c r="L66" s="64"/>
      <c r="M66" s="64"/>
      <c r="N66" s="2"/>
      <c r="O66" s="2"/>
      <c r="P66" s="2"/>
      <c r="Q66" s="2"/>
      <c r="R66" s="2"/>
      <c r="S66" s="2"/>
      <c r="T66" s="2"/>
      <c r="U66" s="2"/>
      <c r="V66" s="2"/>
      <c r="W66" s="35"/>
      <c r="X66" s="2"/>
    </row>
    <row r="67" spans="1:24" s="6" customFormat="1" ht="22" customHeight="1">
      <c r="A67" s="68"/>
      <c r="B67" s="65"/>
      <c r="C67" s="67"/>
      <c r="D67" s="67"/>
      <c r="E67" s="67"/>
      <c r="F67" s="67"/>
      <c r="G67" s="67"/>
      <c r="H67" s="67"/>
      <c r="I67" s="67"/>
      <c r="J67" s="158"/>
      <c r="K67" s="158"/>
      <c r="L67" s="158"/>
      <c r="M67" s="158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s="6" customFormat="1" ht="22" customHeight="1">
      <c r="A68" s="67"/>
      <c r="B68" s="66"/>
      <c r="C68" s="158"/>
      <c r="D68" s="158"/>
      <c r="E68" s="158"/>
      <c r="F68" s="158"/>
      <c r="G68" s="158"/>
      <c r="H68" s="158"/>
      <c r="I68" s="158"/>
      <c r="J68" s="158"/>
      <c r="K68" s="158"/>
      <c r="L68" s="158"/>
      <c r="M68" s="158"/>
      <c r="N68" s="35"/>
      <c r="O68" s="35"/>
      <c r="P68" s="35"/>
      <c r="Q68" s="35"/>
      <c r="R68" s="35"/>
      <c r="S68" s="3"/>
      <c r="T68" s="35"/>
      <c r="U68" s="35"/>
      <c r="V68" s="35"/>
      <c r="W68" s="35"/>
      <c r="X68" s="2"/>
    </row>
    <row r="69" spans="1:24" s="6" customFormat="1" ht="22" customHeight="1">
      <c r="A69" s="67"/>
      <c r="B69" s="65"/>
      <c r="C69" s="158"/>
      <c r="D69" s="158"/>
      <c r="E69" s="158"/>
      <c r="F69" s="158"/>
      <c r="G69" s="158"/>
      <c r="H69" s="158"/>
      <c r="I69" s="158"/>
      <c r="J69" s="158"/>
      <c r="K69" s="158"/>
      <c r="L69" s="158"/>
      <c r="M69" s="158"/>
      <c r="N69" s="35"/>
      <c r="O69" s="35"/>
      <c r="P69" s="35"/>
      <c r="Q69" s="35"/>
      <c r="R69" s="35"/>
      <c r="S69" s="3"/>
      <c r="T69" s="35"/>
      <c r="U69" s="35"/>
      <c r="V69" s="35"/>
      <c r="W69" s="35"/>
      <c r="X69" s="2"/>
    </row>
    <row r="70" spans="1:24" s="6" customFormat="1" ht="22" customHeight="1">
      <c r="A70" s="67"/>
      <c r="B70" s="66"/>
      <c r="C70" s="158"/>
      <c r="D70" s="158"/>
      <c r="E70" s="158"/>
      <c r="F70" s="158"/>
      <c r="G70" s="158"/>
      <c r="H70" s="158"/>
      <c r="I70" s="158"/>
      <c r="J70" s="67"/>
      <c r="K70" s="64"/>
      <c r="L70" s="64"/>
      <c r="M70" s="64"/>
      <c r="N70" s="35"/>
      <c r="O70" s="35"/>
      <c r="P70" s="35"/>
      <c r="Q70" s="35"/>
      <c r="R70" s="35"/>
      <c r="S70" s="3"/>
      <c r="T70" s="35"/>
      <c r="U70" s="35"/>
      <c r="V70" s="35"/>
      <c r="W70" s="35"/>
      <c r="X70" s="2"/>
    </row>
    <row r="71" spans="1:24" s="4" customFormat="1" ht="22" customHeight="1">
      <c r="A71" s="67"/>
      <c r="B71" s="66"/>
      <c r="C71" s="67"/>
      <c r="D71" s="67"/>
      <c r="E71" s="67"/>
      <c r="F71" s="67"/>
      <c r="G71" s="67"/>
      <c r="H71" s="67"/>
      <c r="I71" s="67"/>
      <c r="J71" s="67"/>
      <c r="K71" s="158"/>
      <c r="L71" s="158"/>
      <c r="M71" s="158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s="5" customFormat="1" ht="22" customHeight="1">
      <c r="A72" s="67"/>
      <c r="B72" s="216"/>
      <c r="C72" s="158"/>
      <c r="D72" s="158"/>
      <c r="E72" s="158"/>
      <c r="F72" s="158"/>
      <c r="G72" s="158"/>
      <c r="H72" s="158"/>
      <c r="I72" s="158"/>
      <c r="J72" s="67"/>
      <c r="K72" s="158"/>
      <c r="L72" s="158"/>
      <c r="M72" s="158"/>
      <c r="N72" s="2"/>
      <c r="O72" s="35"/>
      <c r="P72" s="35"/>
      <c r="Q72" s="35"/>
      <c r="R72" s="35"/>
      <c r="S72" s="2"/>
      <c r="T72" s="2"/>
      <c r="U72" s="2"/>
      <c r="V72" s="2"/>
      <c r="W72" s="2"/>
      <c r="X72" s="2"/>
    </row>
    <row r="73" spans="1:24" s="5" customFormat="1" ht="22" customHeight="1">
      <c r="A73" s="67"/>
      <c r="B73" s="73"/>
      <c r="C73" s="73"/>
      <c r="D73" s="158"/>
      <c r="E73" s="158"/>
      <c r="F73" s="158"/>
      <c r="G73" s="158"/>
      <c r="H73" s="158"/>
      <c r="I73" s="158"/>
      <c r="J73" s="67"/>
      <c r="K73" s="158"/>
      <c r="L73" s="158"/>
      <c r="M73" s="158"/>
      <c r="N73" s="35"/>
      <c r="O73" s="35"/>
      <c r="P73" s="35"/>
      <c r="Q73" s="35"/>
      <c r="R73" s="35"/>
      <c r="S73" s="3"/>
      <c r="T73" s="35"/>
      <c r="U73" s="35"/>
      <c r="V73" s="35"/>
      <c r="W73" s="35"/>
      <c r="X73" s="2"/>
    </row>
    <row r="74" spans="1:24" s="5" customFormat="1" ht="22" customHeight="1">
      <c r="A74" s="67"/>
      <c r="B74" s="65"/>
      <c r="C74" s="73"/>
      <c r="D74" s="158"/>
      <c r="E74" s="158"/>
      <c r="F74" s="158"/>
      <c r="G74" s="158"/>
      <c r="H74" s="158"/>
      <c r="I74" s="158"/>
      <c r="J74" s="65"/>
      <c r="K74" s="158"/>
      <c r="L74" s="158"/>
      <c r="M74" s="158"/>
      <c r="N74" s="35"/>
      <c r="O74" s="35"/>
      <c r="P74" s="35"/>
      <c r="Q74" s="35"/>
      <c r="R74" s="35"/>
      <c r="S74" s="3"/>
      <c r="T74" s="35"/>
      <c r="U74" s="35"/>
      <c r="V74" s="35"/>
      <c r="W74" s="35"/>
      <c r="X74" s="2"/>
    </row>
    <row r="75" spans="1:24" s="5" customFormat="1" ht="22" customHeight="1">
      <c r="A75" s="67"/>
      <c r="B75" s="65"/>
      <c r="C75" s="73"/>
      <c r="D75" s="158"/>
      <c r="E75" s="158"/>
      <c r="F75" s="158"/>
      <c r="G75" s="158"/>
      <c r="H75" s="158"/>
      <c r="I75" s="158"/>
      <c r="J75" s="67"/>
      <c r="K75" s="158"/>
      <c r="L75" s="158"/>
      <c r="M75" s="158"/>
      <c r="N75" s="35"/>
      <c r="O75" s="35"/>
      <c r="P75" s="35"/>
      <c r="Q75" s="35"/>
      <c r="R75" s="35"/>
      <c r="S75" s="3"/>
      <c r="T75" s="35"/>
      <c r="U75" s="35"/>
      <c r="V75" s="35"/>
      <c r="W75" s="35"/>
      <c r="X75" s="2"/>
    </row>
    <row r="76" spans="1:24" s="5" customFormat="1" ht="22" customHeight="1">
      <c r="A76" s="67"/>
      <c r="B76" s="65"/>
      <c r="C76" s="73"/>
      <c r="D76" s="158"/>
      <c r="E76" s="158"/>
      <c r="F76" s="158"/>
      <c r="G76" s="158"/>
      <c r="H76" s="158"/>
      <c r="I76" s="158"/>
      <c r="J76" s="67"/>
      <c r="K76" s="158"/>
      <c r="L76" s="158"/>
      <c r="M76" s="158"/>
      <c r="N76" s="35"/>
      <c r="O76" s="35"/>
      <c r="P76" s="35"/>
      <c r="Q76" s="35"/>
      <c r="R76" s="35"/>
      <c r="S76" s="3"/>
      <c r="T76" s="35"/>
      <c r="U76" s="35"/>
      <c r="V76" s="35"/>
      <c r="W76" s="35"/>
      <c r="X76" s="2"/>
    </row>
    <row r="77" spans="1:24" s="5" customFormat="1" ht="22" customHeight="1">
      <c r="A77" s="67"/>
      <c r="B77" s="65"/>
      <c r="C77" s="73"/>
      <c r="D77" s="158"/>
      <c r="E77" s="158"/>
      <c r="F77" s="158"/>
      <c r="G77" s="158"/>
      <c r="H77" s="158"/>
      <c r="I77" s="158"/>
      <c r="J77" s="66"/>
      <c r="K77" s="158"/>
      <c r="L77" s="158"/>
      <c r="M77" s="158"/>
      <c r="N77" s="35"/>
      <c r="O77" s="35"/>
      <c r="P77" s="35"/>
      <c r="Q77" s="35"/>
      <c r="R77" s="35"/>
      <c r="S77" s="3"/>
      <c r="T77" s="35"/>
      <c r="U77" s="35"/>
      <c r="V77" s="35"/>
      <c r="W77" s="35"/>
      <c r="X77" s="2"/>
    </row>
    <row r="78" spans="1:24" s="4" customFormat="1" ht="22" customHeight="1">
      <c r="A78" s="67"/>
      <c r="B78" s="65"/>
      <c r="C78" s="73"/>
      <c r="D78" s="73"/>
      <c r="E78" s="73"/>
      <c r="F78" s="73"/>
      <c r="G78" s="73"/>
      <c r="H78" s="73"/>
      <c r="I78" s="73"/>
      <c r="J78" s="65"/>
      <c r="K78" s="158"/>
      <c r="L78" s="158"/>
      <c r="M78" s="158"/>
      <c r="N78" s="35"/>
      <c r="O78" s="35"/>
      <c r="P78" s="35"/>
      <c r="Q78" s="35"/>
      <c r="R78" s="35"/>
      <c r="S78" s="3"/>
      <c r="T78" s="35"/>
      <c r="U78" s="35"/>
      <c r="V78" s="35"/>
      <c r="W78" s="35"/>
      <c r="X78" s="2"/>
    </row>
    <row r="79" spans="1:24" s="5" customFormat="1" ht="22" customHeight="1">
      <c r="A79" s="67"/>
      <c r="B79" s="65"/>
      <c r="C79" s="158"/>
      <c r="D79" s="158"/>
      <c r="E79" s="158"/>
      <c r="F79" s="158"/>
      <c r="G79" s="158"/>
      <c r="H79" s="158"/>
      <c r="I79" s="158"/>
      <c r="J79" s="79"/>
      <c r="K79" s="64"/>
      <c r="L79" s="64"/>
      <c r="M79" s="64"/>
      <c r="N79" s="35"/>
      <c r="O79" s="35"/>
      <c r="P79" s="35"/>
      <c r="Q79" s="35"/>
      <c r="R79" s="35"/>
      <c r="S79" s="3"/>
      <c r="T79" s="35"/>
      <c r="U79" s="35"/>
      <c r="V79" s="35"/>
      <c r="W79" s="35"/>
      <c r="X79" s="2"/>
    </row>
    <row r="80" spans="1:24" s="4" customFormat="1" ht="22" customHeight="1">
      <c r="A80" s="67"/>
      <c r="B80" s="65"/>
      <c r="C80" s="79"/>
      <c r="D80" s="79"/>
      <c r="E80" s="79"/>
      <c r="F80" s="79"/>
      <c r="G80" s="79"/>
      <c r="H80" s="79"/>
      <c r="I80" s="79"/>
      <c r="J80" s="65"/>
      <c r="K80" s="64"/>
      <c r="L80" s="64"/>
      <c r="M80" s="64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s="4" customFormat="1" ht="22" customHeight="1">
      <c r="A81" s="67"/>
      <c r="B81" s="66"/>
      <c r="C81" s="73"/>
      <c r="D81" s="67"/>
      <c r="E81" s="67"/>
      <c r="F81" s="217"/>
      <c r="G81" s="67"/>
      <c r="H81" s="67"/>
      <c r="I81" s="67"/>
      <c r="J81" s="66"/>
      <c r="K81" s="66"/>
      <c r="L81" s="66"/>
      <c r="M81" s="66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s="12" customFormat="1" ht="22" customHeight="1">
      <c r="A82" s="65"/>
      <c r="B82" s="75"/>
      <c r="C82" s="71"/>
      <c r="D82" s="71"/>
      <c r="E82" s="71"/>
      <c r="F82" s="71"/>
      <c r="G82" s="71"/>
      <c r="H82" s="71"/>
      <c r="I82" s="66"/>
      <c r="J82" s="54"/>
      <c r="K82" s="65"/>
      <c r="L82" s="65"/>
      <c r="M82" s="65"/>
      <c r="N82" s="4"/>
      <c r="O82" s="6"/>
      <c r="P82" s="6"/>
      <c r="Q82" s="6"/>
      <c r="R82" s="6"/>
      <c r="S82" s="5"/>
      <c r="U82" s="35"/>
      <c r="V82" s="5"/>
    </row>
    <row r="83" spans="1:24" s="5" customFormat="1" ht="22" customHeight="1">
      <c r="A83" s="65"/>
      <c r="B83" s="78"/>
      <c r="C83" s="78"/>
      <c r="D83" s="78"/>
      <c r="E83" s="78"/>
      <c r="F83" s="65"/>
      <c r="G83" s="65"/>
      <c r="H83" s="65"/>
      <c r="I83" s="65"/>
      <c r="J83" s="54"/>
      <c r="K83" s="65"/>
      <c r="L83" s="65"/>
      <c r="M83" s="65"/>
      <c r="O83" s="6"/>
      <c r="P83" s="6"/>
      <c r="Q83" s="6"/>
      <c r="R83" s="6"/>
      <c r="U83" s="35"/>
    </row>
    <row r="84" spans="1:24" s="5" customFormat="1" ht="22" customHeight="1">
      <c r="A84" s="65"/>
      <c r="B84" s="78"/>
      <c r="C84" s="78"/>
      <c r="D84" s="78"/>
      <c r="E84" s="78"/>
      <c r="F84" s="65"/>
      <c r="G84" s="65"/>
      <c r="H84" s="65"/>
      <c r="I84" s="65"/>
      <c r="J84" s="54"/>
      <c r="K84" s="150"/>
      <c r="L84" s="65"/>
      <c r="M84" s="65"/>
      <c r="O84" s="6"/>
      <c r="P84" s="6"/>
      <c r="Q84" s="6"/>
      <c r="R84" s="6"/>
      <c r="U84" s="35"/>
    </row>
    <row r="85" spans="1:24" s="5" customFormat="1" ht="22" customHeight="1">
      <c r="A85" s="54"/>
      <c r="B85" s="78"/>
      <c r="C85" s="78"/>
      <c r="D85" s="78"/>
      <c r="E85" s="78"/>
      <c r="F85" s="65"/>
      <c r="G85" s="65"/>
      <c r="H85" s="65"/>
      <c r="I85" s="65"/>
      <c r="J85" s="54"/>
      <c r="K85" s="65"/>
      <c r="L85" s="65"/>
      <c r="M85" s="65"/>
      <c r="O85" s="6"/>
      <c r="P85" s="35"/>
      <c r="Q85" s="35"/>
      <c r="R85" s="35"/>
      <c r="S85" s="4"/>
      <c r="U85" s="35"/>
    </row>
    <row r="86" spans="1:24" s="5" customFormat="1" ht="22" customHeight="1">
      <c r="A86" s="65"/>
      <c r="B86" s="78"/>
      <c r="C86" s="78"/>
      <c r="D86" s="78"/>
      <c r="E86" s="78"/>
      <c r="F86" s="65"/>
      <c r="G86" s="65"/>
      <c r="H86" s="65"/>
      <c r="I86" s="65"/>
      <c r="J86" s="66"/>
      <c r="K86" s="65"/>
      <c r="L86" s="65"/>
      <c r="M86" s="65"/>
      <c r="O86" s="6"/>
      <c r="P86" s="35"/>
      <c r="Q86" s="35"/>
      <c r="R86" s="35"/>
      <c r="U86" s="35"/>
    </row>
    <row r="87" spans="1:24" s="5" customFormat="1" ht="22" customHeight="1">
      <c r="A87" s="65"/>
      <c r="B87" s="78"/>
      <c r="C87" s="78"/>
      <c r="D87" s="78"/>
      <c r="E87" s="78"/>
      <c r="F87" s="65"/>
      <c r="G87" s="65"/>
      <c r="H87" s="65"/>
      <c r="I87" s="65"/>
      <c r="J87" s="65"/>
      <c r="K87" s="65"/>
      <c r="L87" s="65"/>
      <c r="M87" s="65"/>
      <c r="O87" s="6"/>
      <c r="P87" s="6"/>
      <c r="Q87" s="6"/>
      <c r="R87" s="6"/>
      <c r="S87" s="4"/>
      <c r="U87" s="35"/>
      <c r="V87" s="4"/>
    </row>
    <row r="88" spans="1:24" s="5" customFormat="1" ht="22" customHeight="1">
      <c r="A88" s="65"/>
      <c r="B88" s="71"/>
      <c r="C88" s="71"/>
      <c r="D88" s="71"/>
      <c r="E88" s="71"/>
      <c r="F88" s="71"/>
      <c r="G88" s="71"/>
      <c r="H88" s="71"/>
      <c r="I88" s="65"/>
      <c r="J88" s="65"/>
      <c r="K88" s="66"/>
      <c r="L88" s="66"/>
      <c r="M88" s="66"/>
      <c r="O88" s="6"/>
      <c r="P88" s="6"/>
      <c r="Q88" s="6"/>
      <c r="R88" s="6"/>
      <c r="S88" s="4"/>
      <c r="U88" s="35"/>
    </row>
    <row r="89" spans="1:24" s="5" customFormat="1" ht="22" customHeight="1">
      <c r="A89" s="65"/>
      <c r="B89" s="78"/>
      <c r="C89" s="78"/>
      <c r="D89" s="78"/>
      <c r="E89" s="78"/>
      <c r="F89" s="66"/>
      <c r="G89" s="218"/>
      <c r="H89" s="218"/>
      <c r="I89" s="66"/>
      <c r="J89" s="65"/>
      <c r="K89" s="65"/>
      <c r="L89" s="65"/>
      <c r="M89" s="65"/>
      <c r="N89" s="4"/>
      <c r="O89" s="6"/>
      <c r="P89" s="35"/>
      <c r="Q89" s="35"/>
      <c r="R89" s="35"/>
      <c r="S89" s="12"/>
      <c r="U89" s="35"/>
      <c r="V89" s="4"/>
    </row>
    <row r="90" spans="1:24" s="5" customFormat="1" ht="22" customHeight="1">
      <c r="A90" s="65"/>
      <c r="B90" s="75"/>
      <c r="C90" s="75"/>
      <c r="D90" s="75"/>
      <c r="E90" s="75"/>
      <c r="F90" s="75"/>
      <c r="G90" s="75"/>
      <c r="H90" s="75"/>
      <c r="I90" s="65"/>
      <c r="J90" s="66"/>
      <c r="K90" s="66"/>
      <c r="L90" s="66"/>
      <c r="M90" s="66"/>
      <c r="O90" s="6"/>
      <c r="P90" s="35"/>
      <c r="Q90" s="35"/>
      <c r="R90" s="35"/>
      <c r="U90" s="35"/>
      <c r="V90" s="12"/>
    </row>
    <row r="91" spans="1:24" s="4" customFormat="1" ht="22" customHeight="1">
      <c r="A91" s="65"/>
      <c r="B91" s="78"/>
      <c r="C91" s="78"/>
      <c r="D91" s="78"/>
      <c r="E91" s="78"/>
      <c r="F91" s="219"/>
      <c r="G91" s="219"/>
      <c r="H91" s="219"/>
      <c r="I91" s="66"/>
      <c r="J91" s="65"/>
      <c r="K91" s="216"/>
      <c r="L91" s="216"/>
      <c r="M91" s="216"/>
      <c r="O91" s="6"/>
      <c r="P91" s="35"/>
      <c r="Q91" s="35"/>
      <c r="R91" s="35"/>
      <c r="S91" s="5"/>
      <c r="U91" s="6"/>
      <c r="V91" s="5"/>
    </row>
    <row r="92" spans="1:24" s="6" customFormat="1" ht="22" customHeight="1">
      <c r="A92" s="65"/>
      <c r="B92" s="78"/>
      <c r="C92" s="78"/>
      <c r="D92" s="78"/>
      <c r="E92" s="78"/>
      <c r="F92" s="78"/>
      <c r="G92" s="78"/>
      <c r="H92" s="78"/>
      <c r="I92" s="216"/>
      <c r="J92" s="65"/>
      <c r="K92" s="65"/>
      <c r="L92" s="65"/>
      <c r="M92" s="65"/>
      <c r="N92" s="12"/>
      <c r="P92" s="35"/>
      <c r="Q92" s="35"/>
      <c r="R92" s="35"/>
      <c r="S92" s="5"/>
      <c r="U92" s="4"/>
      <c r="V92" s="5"/>
    </row>
    <row r="93" spans="1:24" s="1" customFormat="1" ht="22" customHeight="1">
      <c r="A93" s="66"/>
      <c r="B93" s="78"/>
      <c r="C93" s="78"/>
      <c r="D93" s="78"/>
      <c r="E93" s="78"/>
      <c r="F93" s="65"/>
      <c r="G93" s="65"/>
      <c r="H93" s="65"/>
      <c r="I93" s="65"/>
      <c r="J93" s="65"/>
      <c r="K93" s="65"/>
      <c r="L93" s="65"/>
      <c r="M93" s="65"/>
      <c r="N93" s="5"/>
      <c r="O93" s="6"/>
      <c r="P93" s="35"/>
      <c r="Q93" s="35"/>
      <c r="R93" s="35"/>
      <c r="S93" s="5"/>
      <c r="U93" s="5"/>
      <c r="V93" s="5"/>
    </row>
    <row r="94" spans="1:24" s="1" customFormat="1" ht="22" customHeight="1">
      <c r="A94" s="216"/>
      <c r="B94" s="78"/>
      <c r="C94" s="78"/>
      <c r="D94" s="78"/>
      <c r="E94" s="78"/>
      <c r="F94" s="65"/>
      <c r="G94" s="65"/>
      <c r="H94" s="65"/>
      <c r="I94" s="65"/>
      <c r="J94" s="65"/>
      <c r="K94" s="65"/>
      <c r="L94" s="65"/>
      <c r="M94" s="65"/>
      <c r="N94" s="5"/>
      <c r="O94" s="6"/>
      <c r="P94" s="35"/>
      <c r="Q94" s="35"/>
      <c r="R94" s="35"/>
      <c r="S94" s="5"/>
      <c r="U94" s="5"/>
      <c r="V94" s="5"/>
    </row>
    <row r="95" spans="1:24" s="1" customFormat="1" ht="22" customHeight="1">
      <c r="A95" s="65"/>
      <c r="B95" s="78"/>
      <c r="C95" s="78"/>
      <c r="D95" s="78"/>
      <c r="E95" s="78"/>
      <c r="F95" s="65"/>
      <c r="G95" s="65"/>
      <c r="H95" s="65"/>
      <c r="I95" s="65"/>
      <c r="J95" s="65"/>
      <c r="K95" s="65"/>
      <c r="L95" s="65"/>
      <c r="M95" s="65"/>
      <c r="N95" s="5"/>
      <c r="O95" s="6"/>
      <c r="P95" s="35"/>
      <c r="Q95" s="35"/>
      <c r="R95" s="35"/>
      <c r="S95" s="5"/>
      <c r="U95" s="5"/>
      <c r="V95" s="5"/>
    </row>
    <row r="96" spans="1:24" s="1" customFormat="1" ht="22" customHeight="1">
      <c r="A96" s="65"/>
      <c r="B96" s="78"/>
      <c r="C96" s="78"/>
      <c r="D96" s="78"/>
      <c r="E96" s="78"/>
      <c r="F96" s="65"/>
      <c r="G96" s="65"/>
      <c r="H96" s="65"/>
      <c r="I96" s="65"/>
      <c r="J96" s="66"/>
      <c r="K96" s="65"/>
      <c r="L96" s="65"/>
      <c r="M96" s="65"/>
      <c r="N96" s="5"/>
      <c r="O96" s="6"/>
      <c r="P96" s="35"/>
      <c r="Q96" s="35"/>
      <c r="R96" s="35"/>
      <c r="S96" s="5"/>
      <c r="U96" s="5"/>
      <c r="V96" s="5"/>
    </row>
    <row r="97" spans="1:22" s="4" customFormat="1" ht="22" customHeight="1">
      <c r="A97" s="65"/>
      <c r="B97" s="75"/>
      <c r="C97" s="75"/>
      <c r="D97" s="75"/>
      <c r="E97" s="75"/>
      <c r="F97" s="75"/>
      <c r="G97" s="75"/>
      <c r="H97" s="75"/>
      <c r="I97" s="65"/>
      <c r="J97" s="54"/>
      <c r="K97" s="65"/>
      <c r="L97" s="65"/>
      <c r="M97" s="65"/>
      <c r="N97" s="5"/>
      <c r="O97" s="6"/>
      <c r="P97" s="35"/>
      <c r="Q97" s="35"/>
      <c r="R97" s="35"/>
      <c r="S97" s="5"/>
      <c r="U97" s="5"/>
    </row>
    <row r="98" spans="1:22" s="5" customFormat="1" ht="22" customHeight="1">
      <c r="A98" s="54"/>
      <c r="B98" s="66"/>
      <c r="C98" s="54"/>
      <c r="D98" s="54"/>
      <c r="E98" s="54"/>
      <c r="F98" s="65"/>
      <c r="G98" s="65"/>
      <c r="H98" s="65"/>
      <c r="I98" s="65"/>
      <c r="J98" s="65"/>
      <c r="K98" s="65"/>
      <c r="L98" s="65"/>
      <c r="M98" s="65"/>
      <c r="O98" s="6"/>
      <c r="P98" s="6"/>
      <c r="Q98" s="6"/>
      <c r="R98" s="6"/>
      <c r="S98" s="4"/>
      <c r="V98" s="6"/>
    </row>
    <row r="99" spans="1:22" s="5" customFormat="1" ht="22" customHeight="1">
      <c r="A99" s="98"/>
      <c r="B99" s="65"/>
      <c r="C99" s="54"/>
      <c r="D99" s="54"/>
      <c r="E99" s="54"/>
      <c r="F99" s="65"/>
      <c r="G99" s="65"/>
      <c r="H99" s="65"/>
      <c r="I99" s="65"/>
      <c r="J99" s="65"/>
      <c r="K99" s="66"/>
      <c r="L99" s="66"/>
      <c r="M99" s="66"/>
      <c r="O99" s="4"/>
      <c r="P99" s="4"/>
      <c r="Q99" s="4"/>
      <c r="R99" s="4"/>
      <c r="S99" s="6"/>
      <c r="U99" s="4"/>
      <c r="V99" s="1"/>
    </row>
    <row r="100" spans="1:22" s="5" customFormat="1" ht="22" customHeight="1">
      <c r="A100" s="54"/>
      <c r="B100" s="65"/>
      <c r="C100" s="54"/>
      <c r="D100" s="54"/>
      <c r="E100" s="54"/>
      <c r="F100" s="66"/>
      <c r="G100" s="66"/>
      <c r="H100" s="66"/>
      <c r="I100" s="66"/>
      <c r="J100" s="65"/>
      <c r="K100" s="67"/>
      <c r="L100" s="67"/>
      <c r="M100" s="67"/>
      <c r="N100" s="4"/>
      <c r="S100" s="1"/>
      <c r="V100" s="1"/>
    </row>
    <row r="101" spans="1:22" s="4" customFormat="1" ht="22" customHeight="1">
      <c r="A101" s="62"/>
      <c r="B101" s="65"/>
      <c r="C101" s="54"/>
      <c r="D101" s="54"/>
      <c r="E101" s="54"/>
      <c r="F101" s="67"/>
      <c r="G101" s="67"/>
      <c r="H101" s="67"/>
      <c r="I101" s="67"/>
      <c r="J101" s="54"/>
      <c r="K101" s="54"/>
      <c r="L101" s="54"/>
      <c r="M101" s="54"/>
      <c r="N101" s="6"/>
      <c r="O101" s="5"/>
      <c r="P101" s="5"/>
      <c r="Q101" s="5"/>
      <c r="R101" s="5"/>
      <c r="S101" s="1"/>
      <c r="V101" s="1"/>
    </row>
    <row r="102" spans="1:22" s="5" customFormat="1" ht="22" customHeight="1">
      <c r="A102" s="66"/>
      <c r="B102" s="66"/>
      <c r="C102" s="66"/>
      <c r="D102" s="66"/>
      <c r="E102" s="66"/>
      <c r="F102" s="54"/>
      <c r="G102" s="54"/>
      <c r="H102" s="54"/>
      <c r="I102" s="54"/>
      <c r="J102" s="54"/>
      <c r="K102" s="54"/>
      <c r="L102" s="54"/>
      <c r="M102" s="54"/>
      <c r="N102" s="1"/>
      <c r="S102" s="1"/>
      <c r="U102" s="12"/>
      <c r="V102" s="1"/>
    </row>
    <row r="103" spans="1:22" s="5" customFormat="1" ht="22" customHeight="1">
      <c r="A103" s="65"/>
      <c r="B103" s="54"/>
      <c r="C103" s="65"/>
      <c r="D103" s="65"/>
      <c r="E103" s="65"/>
      <c r="F103" s="54"/>
      <c r="G103" s="54"/>
      <c r="H103" s="54"/>
      <c r="I103" s="54"/>
      <c r="J103" s="54"/>
      <c r="K103" s="54"/>
      <c r="L103" s="54"/>
      <c r="M103" s="54"/>
      <c r="N103" s="1"/>
      <c r="S103" s="1"/>
      <c r="V103" s="4"/>
    </row>
    <row r="104" spans="1:22" s="5" customFormat="1" ht="22" customHeight="1">
      <c r="A104" s="65"/>
      <c r="B104" s="65"/>
      <c r="C104" s="65"/>
      <c r="D104" s="65"/>
      <c r="E104" s="65"/>
      <c r="F104" s="54"/>
      <c r="G104" s="54"/>
      <c r="H104" s="54"/>
      <c r="I104" s="54"/>
      <c r="J104" s="54"/>
      <c r="K104" s="54"/>
      <c r="L104" s="54"/>
      <c r="M104" s="54"/>
      <c r="N104" s="1"/>
      <c r="S104" s="4"/>
    </row>
    <row r="105" spans="1:22" s="5" customFormat="1" ht="22" customHeight="1">
      <c r="A105" s="65"/>
      <c r="B105" s="65"/>
      <c r="C105" s="65"/>
      <c r="D105" s="65"/>
      <c r="E105" s="65"/>
      <c r="F105" s="54"/>
      <c r="G105" s="54"/>
      <c r="H105" s="54"/>
      <c r="I105" s="54"/>
      <c r="J105" s="66"/>
      <c r="K105" s="66"/>
      <c r="L105" s="66"/>
      <c r="M105" s="66"/>
      <c r="N105" s="1"/>
    </row>
    <row r="106" spans="1:22" s="5" customFormat="1" ht="22" customHeight="1">
      <c r="A106" s="66"/>
      <c r="B106" s="78"/>
      <c r="C106" s="78"/>
      <c r="D106" s="78"/>
      <c r="E106" s="78"/>
      <c r="F106" s="78"/>
      <c r="G106" s="78"/>
      <c r="H106" s="78"/>
      <c r="I106" s="66"/>
      <c r="J106" s="65"/>
      <c r="K106" s="65"/>
      <c r="L106" s="65"/>
      <c r="M106" s="65"/>
      <c r="N106" s="4"/>
      <c r="O106" s="4"/>
      <c r="P106" s="4"/>
      <c r="Q106" s="4"/>
      <c r="R106" s="4"/>
    </row>
    <row r="107" spans="1:22" s="4" customFormat="1" ht="22" customHeight="1">
      <c r="A107" s="65"/>
      <c r="B107" s="54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5"/>
      <c r="O107" s="5"/>
      <c r="P107" s="5"/>
      <c r="Q107" s="5"/>
      <c r="R107" s="5"/>
      <c r="S107" s="5"/>
      <c r="U107" s="5"/>
      <c r="V107" s="5"/>
    </row>
    <row r="108" spans="1:22" s="1" customFormat="1" ht="22" customHeight="1">
      <c r="A108" s="65"/>
      <c r="B108" s="54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5"/>
      <c r="O108" s="4"/>
      <c r="P108" s="4"/>
      <c r="Q108" s="4"/>
      <c r="R108" s="4"/>
      <c r="S108" s="4"/>
      <c r="U108" s="5"/>
      <c r="V108" s="4"/>
    </row>
    <row r="109" spans="1:22" s="1" customFormat="1" ht="22" customHeight="1">
      <c r="A109" s="66"/>
      <c r="B109" s="66"/>
      <c r="C109" s="66"/>
      <c r="D109" s="66"/>
      <c r="E109" s="66"/>
      <c r="F109" s="65"/>
      <c r="G109" s="65"/>
      <c r="H109" s="65"/>
      <c r="I109" s="65"/>
      <c r="J109" s="66"/>
      <c r="K109" s="66"/>
      <c r="L109" s="66"/>
      <c r="M109" s="66"/>
      <c r="N109" s="5"/>
      <c r="O109" s="12"/>
      <c r="P109" s="12"/>
      <c r="Q109" s="12"/>
      <c r="R109" s="12"/>
      <c r="S109" s="5"/>
      <c r="U109" s="5"/>
      <c r="V109" s="5"/>
    </row>
    <row r="110" spans="1:22" s="1" customFormat="1" ht="22" customHeight="1">
      <c r="A110" s="65"/>
      <c r="B110" s="78"/>
      <c r="C110" s="78"/>
      <c r="D110" s="78"/>
      <c r="E110" s="78"/>
      <c r="F110" s="218"/>
      <c r="G110" s="218"/>
      <c r="H110" s="218"/>
      <c r="I110" s="66"/>
      <c r="J110" s="65"/>
      <c r="K110" s="65"/>
      <c r="L110" s="65"/>
      <c r="M110" s="65"/>
      <c r="N110" s="4"/>
      <c r="O110" s="5"/>
      <c r="P110" s="5"/>
      <c r="Q110" s="5"/>
      <c r="R110" s="5"/>
      <c r="S110" s="5"/>
      <c r="U110" s="5"/>
    </row>
    <row r="111" spans="1:22" s="4" customFormat="1" ht="22" customHeight="1">
      <c r="A111" s="66"/>
      <c r="B111" s="71"/>
      <c r="C111" s="71"/>
      <c r="D111" s="71"/>
      <c r="E111" s="71"/>
      <c r="F111" s="71"/>
      <c r="G111" s="71"/>
      <c r="H111" s="71"/>
      <c r="I111" s="65"/>
      <c r="J111" s="65"/>
      <c r="K111" s="65"/>
      <c r="L111" s="65"/>
      <c r="M111" s="65"/>
      <c r="N111" s="5"/>
      <c r="O111" s="5"/>
      <c r="P111" s="5"/>
      <c r="Q111" s="5"/>
      <c r="R111" s="5"/>
      <c r="S111" s="5"/>
      <c r="U111" s="6"/>
      <c r="V111" s="5"/>
    </row>
    <row r="112" spans="1:22" s="5" customFormat="1" ht="22" customHeight="1">
      <c r="A112" s="62"/>
      <c r="B112" s="54"/>
      <c r="C112" s="54"/>
      <c r="D112" s="54"/>
      <c r="E112" s="54"/>
      <c r="F112" s="65"/>
      <c r="G112" s="65"/>
      <c r="H112" s="65"/>
      <c r="I112" s="65"/>
      <c r="J112" s="65"/>
      <c r="K112" s="65"/>
      <c r="L112" s="65"/>
      <c r="M112" s="65"/>
      <c r="U112" s="1"/>
    </row>
    <row r="113" spans="1:26" s="5" customFormat="1" ht="22" customHeight="1">
      <c r="A113" s="62"/>
      <c r="B113" s="220"/>
      <c r="C113" s="54"/>
      <c r="D113" s="54"/>
      <c r="E113" s="54"/>
      <c r="F113" s="65"/>
      <c r="G113" s="65"/>
      <c r="H113" s="65"/>
      <c r="I113" s="65"/>
      <c r="J113" s="65"/>
      <c r="K113" s="65"/>
      <c r="L113" s="65"/>
      <c r="M113" s="65"/>
      <c r="U113" s="1"/>
      <c r="V113" s="4"/>
    </row>
    <row r="114" spans="1:26" s="4" customFormat="1" ht="22" customHeight="1">
      <c r="A114" s="66"/>
      <c r="B114" s="66"/>
      <c r="C114" s="220"/>
      <c r="D114" s="66"/>
      <c r="E114" s="66"/>
      <c r="F114" s="65"/>
      <c r="G114" s="65"/>
      <c r="H114" s="65"/>
      <c r="I114" s="65"/>
      <c r="J114" s="54"/>
      <c r="K114" s="54"/>
      <c r="L114" s="54"/>
      <c r="M114" s="54"/>
      <c r="N114" s="5"/>
      <c r="O114" s="5"/>
      <c r="P114" s="5"/>
      <c r="Q114" s="5"/>
      <c r="R114" s="5"/>
      <c r="U114" s="1"/>
      <c r="V114" s="1"/>
    </row>
    <row r="115" spans="1:26" s="5" customFormat="1" ht="22" customHeight="1">
      <c r="A115" s="65"/>
      <c r="B115" s="86"/>
      <c r="C115" s="65"/>
      <c r="D115" s="65"/>
      <c r="E115" s="65"/>
      <c r="F115" s="54"/>
      <c r="G115" s="54"/>
      <c r="H115" s="54"/>
      <c r="I115" s="54"/>
      <c r="J115" s="54"/>
      <c r="K115" s="54"/>
      <c r="L115" s="54"/>
      <c r="M115" s="54"/>
      <c r="N115" s="1"/>
      <c r="S115" s="1"/>
      <c r="U115" s="1"/>
      <c r="V115" s="1"/>
    </row>
    <row r="116" spans="1:26" s="5" customFormat="1" ht="22" customHeight="1">
      <c r="A116" s="65"/>
      <c r="B116" s="86"/>
      <c r="C116" s="65"/>
      <c r="D116" s="65"/>
      <c r="E116" s="65"/>
      <c r="F116" s="65"/>
      <c r="G116" s="65"/>
      <c r="H116" s="65"/>
      <c r="I116" s="54"/>
      <c r="J116" s="54"/>
      <c r="K116" s="54"/>
      <c r="L116" s="54"/>
      <c r="M116" s="54"/>
      <c r="N116" s="1"/>
      <c r="S116" s="1"/>
      <c r="U116" s="4"/>
      <c r="V116" s="1"/>
    </row>
    <row r="117" spans="1:26" s="5" customFormat="1" ht="22" customHeight="1">
      <c r="A117" s="66"/>
      <c r="B117" s="54"/>
      <c r="C117" s="54"/>
      <c r="D117" s="54"/>
      <c r="E117" s="54"/>
      <c r="F117" s="54"/>
      <c r="G117" s="54"/>
      <c r="H117" s="54"/>
      <c r="I117" s="54"/>
      <c r="J117" s="66"/>
      <c r="K117" s="66"/>
      <c r="L117" s="66"/>
      <c r="M117" s="66"/>
      <c r="N117" s="1"/>
      <c r="O117" s="4"/>
      <c r="P117" s="4"/>
      <c r="Q117" s="4"/>
      <c r="R117" s="4"/>
      <c r="S117" s="1"/>
      <c r="V117" s="4"/>
    </row>
    <row r="118" spans="1:26" s="4" customFormat="1" ht="22" customHeight="1">
      <c r="A118" s="65"/>
      <c r="B118" s="54"/>
      <c r="C118" s="54"/>
      <c r="D118" s="65"/>
      <c r="E118" s="65"/>
      <c r="F118" s="65"/>
      <c r="G118" s="65"/>
      <c r="H118" s="65"/>
      <c r="I118" s="66"/>
      <c r="J118" s="65"/>
      <c r="K118" s="65"/>
      <c r="L118" s="65"/>
      <c r="M118" s="65"/>
      <c r="O118" s="6"/>
      <c r="P118" s="6"/>
      <c r="Q118" s="6"/>
      <c r="R118" s="6"/>
      <c r="U118" s="5"/>
      <c r="V118" s="5"/>
    </row>
    <row r="119" spans="1:26" s="1" customFormat="1" ht="22" customHeight="1">
      <c r="A119" s="65"/>
      <c r="B119" s="54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5"/>
      <c r="S119" s="5"/>
      <c r="U119" s="5"/>
      <c r="V119" s="5"/>
    </row>
    <row r="120" spans="1:26" s="5" customFormat="1" ht="22" customHeight="1">
      <c r="A120" s="65"/>
      <c r="B120" s="54"/>
      <c r="C120" s="65"/>
      <c r="D120" s="65"/>
      <c r="E120" s="65"/>
      <c r="F120" s="65"/>
      <c r="G120" s="65"/>
      <c r="H120" s="65"/>
      <c r="I120" s="65"/>
      <c r="J120" s="66"/>
      <c r="K120" s="66"/>
      <c r="L120" s="66"/>
      <c r="M120" s="66"/>
      <c r="O120" s="1"/>
      <c r="P120" s="1"/>
      <c r="Q120" s="1"/>
      <c r="R120" s="1"/>
      <c r="U120" s="4"/>
      <c r="V120" s="4"/>
    </row>
    <row r="121" spans="1:26" s="5" customFormat="1" ht="22" customHeight="1">
      <c r="A121" s="66"/>
      <c r="B121" s="88"/>
      <c r="C121" s="221"/>
      <c r="D121" s="221"/>
      <c r="E121" s="221"/>
      <c r="F121" s="221"/>
      <c r="G121" s="221"/>
      <c r="H121" s="221"/>
      <c r="I121" s="66"/>
      <c r="J121" s="66"/>
      <c r="K121" s="66"/>
      <c r="L121" s="66"/>
      <c r="M121" s="66"/>
      <c r="N121" s="4"/>
      <c r="O121" s="1"/>
      <c r="P121" s="1"/>
      <c r="Q121" s="1"/>
      <c r="R121" s="1"/>
      <c r="S121" s="4"/>
    </row>
    <row r="122" spans="1:26" s="1" customFormat="1" ht="22" customHeight="1">
      <c r="A122" s="54"/>
      <c r="B122" s="54"/>
      <c r="C122" s="54"/>
      <c r="D122" s="54"/>
      <c r="E122" s="54"/>
      <c r="F122" s="66"/>
      <c r="G122" s="66"/>
      <c r="H122" s="66"/>
      <c r="I122" s="66"/>
      <c r="J122" s="65"/>
      <c r="K122" s="65"/>
      <c r="L122" s="65"/>
      <c r="M122" s="65"/>
      <c r="N122" s="4"/>
      <c r="S122" s="5"/>
      <c r="U122" s="5"/>
      <c r="V122" s="5"/>
    </row>
    <row r="123" spans="1:26" s="1" customFormat="1" ht="22" customHeight="1">
      <c r="A123" s="65"/>
      <c r="B123" s="54"/>
      <c r="C123" s="54"/>
      <c r="D123" s="54"/>
      <c r="E123" s="54"/>
      <c r="F123" s="65"/>
      <c r="G123" s="65"/>
      <c r="H123" s="65"/>
      <c r="I123" s="65"/>
      <c r="J123" s="65"/>
      <c r="K123" s="65"/>
      <c r="L123" s="65"/>
      <c r="M123" s="65"/>
      <c r="N123" s="5"/>
      <c r="O123" s="4"/>
      <c r="P123" s="4"/>
      <c r="Q123" s="4"/>
      <c r="R123" s="4"/>
      <c r="S123" s="5"/>
      <c r="U123" s="5"/>
      <c r="V123" s="5"/>
    </row>
    <row r="124" spans="1:26" s="1" customFormat="1" ht="22" customHeight="1">
      <c r="A124" s="65"/>
      <c r="B124" s="54"/>
      <c r="C124" s="65"/>
      <c r="D124" s="65"/>
      <c r="E124" s="65"/>
      <c r="F124" s="78"/>
      <c r="G124" s="78"/>
      <c r="H124" s="78"/>
      <c r="I124" s="65"/>
      <c r="J124" s="66"/>
      <c r="K124" s="66"/>
      <c r="L124" s="66"/>
      <c r="M124" s="66"/>
      <c r="N124" s="5"/>
      <c r="O124" s="5"/>
      <c r="P124" s="5"/>
      <c r="Q124" s="5"/>
      <c r="R124" s="5"/>
      <c r="S124" s="5"/>
      <c r="U124" s="5"/>
      <c r="V124" s="4"/>
    </row>
    <row r="125" spans="1:26" s="4" customFormat="1" ht="22" customHeight="1">
      <c r="A125" s="54"/>
      <c r="B125" s="54"/>
      <c r="C125" s="54"/>
      <c r="D125" s="54"/>
      <c r="E125" s="54"/>
      <c r="F125" s="222"/>
      <c r="G125" s="66"/>
      <c r="H125" s="66"/>
      <c r="I125" s="66"/>
      <c r="J125" s="54"/>
      <c r="K125" s="54"/>
      <c r="L125" s="54"/>
      <c r="M125" s="54"/>
      <c r="O125" s="5"/>
      <c r="P125" s="5"/>
      <c r="Q125" s="5"/>
      <c r="R125" s="5"/>
      <c r="U125" s="1"/>
      <c r="V125" s="5"/>
    </row>
    <row r="126" spans="1:26" s="1" customFormat="1" ht="22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65"/>
      <c r="K126" s="65"/>
      <c r="L126" s="65"/>
      <c r="M126" s="65"/>
      <c r="S126" s="5"/>
      <c r="T126" s="5"/>
      <c r="U126" s="5"/>
      <c r="V126" s="5"/>
      <c r="Z126" s="5"/>
    </row>
    <row r="127" spans="1:26" s="1" customFormat="1" ht="22" customHeight="1">
      <c r="A127" s="54"/>
      <c r="B127" s="62"/>
      <c r="C127" s="160"/>
      <c r="D127" s="160"/>
      <c r="E127" s="160"/>
      <c r="F127" s="223"/>
      <c r="G127" s="223"/>
      <c r="H127" s="223"/>
      <c r="I127" s="65"/>
      <c r="J127" s="65"/>
      <c r="K127" s="65"/>
      <c r="L127" s="65"/>
      <c r="M127" s="65"/>
      <c r="N127" s="5"/>
      <c r="O127" s="5"/>
      <c r="P127" s="5"/>
      <c r="Q127" s="5"/>
      <c r="R127" s="5"/>
      <c r="S127" s="4"/>
      <c r="T127" s="4"/>
      <c r="U127" s="4"/>
      <c r="V127" s="4"/>
      <c r="W127" s="5"/>
    </row>
    <row r="128" spans="1:26" s="1" customFormat="1" ht="22" customHeight="1">
      <c r="A128" s="62"/>
      <c r="B128" s="54"/>
      <c r="C128" s="54"/>
      <c r="D128" s="54"/>
      <c r="E128" s="54"/>
      <c r="F128" s="65"/>
      <c r="G128" s="65"/>
      <c r="H128" s="65"/>
      <c r="I128" s="65"/>
      <c r="J128" s="54"/>
      <c r="K128" s="54"/>
      <c r="L128" s="54"/>
      <c r="M128" s="54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4"/>
      <c r="Y128" s="4"/>
    </row>
    <row r="129" spans="1:26" s="10" customFormat="1" ht="22" customHeight="1">
      <c r="A129" s="66"/>
      <c r="B129" s="54"/>
      <c r="C129" s="218"/>
      <c r="D129" s="218"/>
      <c r="E129" s="218"/>
      <c r="F129" s="218"/>
      <c r="G129" s="218"/>
      <c r="H129" s="218"/>
      <c r="I129" s="54"/>
      <c r="J129" s="54"/>
      <c r="K129" s="54"/>
      <c r="L129" s="54"/>
      <c r="M129" s="54"/>
      <c r="N129" s="1"/>
      <c r="O129" s="1"/>
      <c r="P129" s="1"/>
      <c r="Q129" s="1"/>
      <c r="R129" s="1"/>
      <c r="S129" s="5"/>
      <c r="T129" s="5"/>
      <c r="U129" s="5"/>
      <c r="V129" s="5"/>
      <c r="W129" s="1"/>
      <c r="X129" s="5"/>
      <c r="Y129" s="5"/>
      <c r="Z129" s="1"/>
    </row>
    <row r="130" spans="1:26" s="10" customFormat="1" ht="22" customHeight="1">
      <c r="A130" s="62"/>
      <c r="B130" s="54"/>
      <c r="C130" s="224"/>
      <c r="D130" s="224"/>
      <c r="E130" s="224"/>
      <c r="F130" s="224"/>
      <c r="G130" s="224"/>
      <c r="H130" s="224"/>
      <c r="I130" s="54"/>
      <c r="J130" s="54"/>
      <c r="K130" s="54"/>
      <c r="L130" s="54"/>
      <c r="M130" s="54"/>
      <c r="N130" s="1"/>
      <c r="O130" s="1"/>
      <c r="P130" s="1"/>
      <c r="Q130" s="1"/>
      <c r="R130" s="1"/>
      <c r="S130" s="5"/>
      <c r="T130" s="5"/>
      <c r="U130" s="5"/>
      <c r="V130" s="5"/>
      <c r="W130" s="1"/>
      <c r="X130" s="5"/>
      <c r="Y130" s="5"/>
      <c r="Z130" s="1"/>
    </row>
    <row r="131" spans="1:26" s="2" customFormat="1" ht="22" customHeight="1">
      <c r="A131" s="62"/>
      <c r="B131" s="88"/>
      <c r="C131" s="88"/>
      <c r="D131" s="88"/>
      <c r="E131" s="88"/>
      <c r="F131" s="88"/>
      <c r="G131" s="88"/>
      <c r="H131" s="88"/>
      <c r="I131" s="54"/>
      <c r="J131" s="54"/>
      <c r="K131" s="54"/>
      <c r="L131" s="54"/>
      <c r="M131" s="54"/>
      <c r="N131" s="1"/>
      <c r="O131" s="1"/>
      <c r="P131" s="1"/>
      <c r="Q131" s="1"/>
      <c r="R131" s="1"/>
      <c r="S131" s="5"/>
      <c r="T131" s="5"/>
      <c r="U131" s="5"/>
      <c r="V131" s="5"/>
      <c r="W131" s="1"/>
      <c r="X131" s="4"/>
      <c r="Y131" s="4"/>
      <c r="Z131" s="4"/>
    </row>
    <row r="132" spans="1:26" s="2" customFormat="1" ht="22" customHeight="1">
      <c r="A132" s="62"/>
      <c r="B132" s="225"/>
      <c r="C132" s="225"/>
      <c r="D132" s="225"/>
      <c r="E132" s="225"/>
      <c r="F132" s="54"/>
      <c r="G132" s="54"/>
      <c r="H132" s="54"/>
      <c r="I132" s="54"/>
      <c r="J132" s="66"/>
      <c r="K132" s="66"/>
      <c r="L132" s="66"/>
      <c r="M132" s="66"/>
      <c r="N132" s="1"/>
      <c r="O132" s="1"/>
      <c r="P132" s="1"/>
      <c r="Q132" s="1"/>
      <c r="R132" s="1"/>
      <c r="S132" s="1"/>
      <c r="T132" s="1"/>
      <c r="U132" s="1"/>
      <c r="V132" s="1"/>
      <c r="W132" s="4"/>
      <c r="X132" s="4"/>
      <c r="Y132" s="4"/>
      <c r="Z132" s="4"/>
    </row>
    <row r="133" spans="1:26" s="1" customFormat="1" ht="22" customHeight="1">
      <c r="A133" s="220"/>
      <c r="B133" s="54"/>
      <c r="C133" s="220"/>
      <c r="D133" s="220"/>
      <c r="E133" s="220"/>
      <c r="F133" s="220"/>
      <c r="G133" s="220"/>
      <c r="H133" s="220"/>
      <c r="I133" s="66"/>
      <c r="J133" s="54"/>
      <c r="K133" s="54"/>
      <c r="L133" s="54"/>
      <c r="M133" s="54"/>
      <c r="N133" s="4"/>
      <c r="O133" s="4"/>
      <c r="P133" s="4"/>
      <c r="Q133" s="4"/>
      <c r="R133" s="4"/>
      <c r="X133" s="5"/>
      <c r="Y133" s="5"/>
    </row>
    <row r="134" spans="1:26" s="1" customFormat="1" ht="22" customHeight="1">
      <c r="A134" s="220"/>
      <c r="B134" s="88"/>
      <c r="C134" s="88"/>
      <c r="D134" s="88"/>
      <c r="E134" s="88"/>
      <c r="F134" s="88"/>
      <c r="G134" s="88"/>
      <c r="H134" s="88"/>
      <c r="I134" s="54"/>
      <c r="J134" s="54"/>
      <c r="K134" s="54"/>
      <c r="L134" s="54"/>
      <c r="M134" s="54"/>
      <c r="X134" s="5"/>
      <c r="Y134" s="5"/>
    </row>
    <row r="135" spans="1:26" s="1" customFormat="1" ht="22" customHeight="1">
      <c r="A135" s="64"/>
      <c r="B135" s="79"/>
      <c r="C135" s="64"/>
      <c r="D135" s="64"/>
      <c r="E135" s="64"/>
      <c r="F135" s="64"/>
      <c r="G135" s="64"/>
      <c r="H135" s="64"/>
      <c r="I135" s="54"/>
      <c r="J135" s="54"/>
      <c r="K135" s="54"/>
      <c r="L135" s="54"/>
      <c r="M135" s="54"/>
      <c r="U135" s="4"/>
      <c r="V135" s="4"/>
      <c r="W135" s="4"/>
      <c r="X135" s="4"/>
      <c r="Y135" s="4"/>
      <c r="Z135" s="10"/>
    </row>
    <row r="136" spans="1:26" s="1" customFormat="1" ht="22" customHeight="1">
      <c r="A136" s="62"/>
      <c r="B136" s="54"/>
      <c r="C136" s="54"/>
      <c r="D136" s="54"/>
      <c r="E136" s="54"/>
      <c r="F136" s="54"/>
      <c r="G136" s="54"/>
      <c r="H136" s="54"/>
      <c r="I136" s="54"/>
      <c r="J136" s="220"/>
      <c r="K136" s="220"/>
      <c r="L136" s="220"/>
      <c r="M136" s="220"/>
      <c r="U136" s="5"/>
      <c r="V136" s="5"/>
      <c r="W136" s="5"/>
      <c r="Z136" s="10"/>
    </row>
    <row r="137" spans="1:26" s="1" customFormat="1" ht="22" customHeight="1">
      <c r="A137" s="62"/>
      <c r="B137" s="54"/>
      <c r="C137" s="54"/>
      <c r="D137" s="54"/>
      <c r="E137" s="54"/>
      <c r="F137" s="220"/>
      <c r="G137" s="220"/>
      <c r="H137" s="220"/>
      <c r="I137" s="220"/>
      <c r="J137" s="220"/>
      <c r="K137" s="220"/>
      <c r="L137" s="220"/>
      <c r="M137" s="220"/>
      <c r="N137" s="10"/>
      <c r="O137" s="10"/>
      <c r="P137" s="10"/>
      <c r="Q137" s="10"/>
      <c r="R137" s="10"/>
      <c r="S137" s="10"/>
      <c r="T137" s="10"/>
      <c r="U137" s="5"/>
      <c r="V137" s="5"/>
      <c r="W137" s="5"/>
      <c r="X137" s="5"/>
      <c r="Y137" s="5"/>
      <c r="Z137" s="2"/>
    </row>
    <row r="138" spans="1:26" s="1" customFormat="1" ht="22" customHeight="1">
      <c r="A138" s="62"/>
      <c r="B138" s="54"/>
      <c r="C138" s="54"/>
      <c r="D138" s="54"/>
      <c r="E138" s="54"/>
      <c r="F138" s="220"/>
      <c r="G138" s="220"/>
      <c r="H138" s="220"/>
      <c r="I138" s="220"/>
      <c r="J138" s="64"/>
      <c r="K138" s="64"/>
      <c r="L138" s="64"/>
      <c r="M138" s="64"/>
      <c r="N138" s="10"/>
      <c r="O138" s="10"/>
      <c r="P138" s="10"/>
      <c r="Q138" s="10"/>
      <c r="R138" s="10"/>
      <c r="S138" s="10"/>
      <c r="T138" s="10"/>
      <c r="U138" s="4"/>
      <c r="V138" s="4"/>
      <c r="W138" s="4"/>
      <c r="X138" s="5"/>
      <c r="Y138" s="5"/>
    </row>
    <row r="139" spans="1:26" s="1" customFormat="1" ht="18" customHeight="1">
      <c r="A139" s="62"/>
      <c r="B139" s="54"/>
      <c r="C139" s="54"/>
      <c r="D139" s="54"/>
      <c r="E139" s="54"/>
      <c r="F139" s="54"/>
      <c r="G139" s="54"/>
      <c r="H139" s="54"/>
      <c r="I139" s="64"/>
      <c r="J139" s="54"/>
      <c r="K139" s="54"/>
      <c r="L139" s="54"/>
      <c r="M139" s="54"/>
      <c r="N139" s="2"/>
      <c r="O139" s="2"/>
      <c r="P139" s="2"/>
      <c r="Q139" s="2"/>
      <c r="R139" s="2"/>
      <c r="S139" s="2"/>
      <c r="T139" s="2"/>
      <c r="U139" s="4"/>
      <c r="V139" s="4"/>
      <c r="W139" s="4"/>
    </row>
    <row r="140" spans="1:26" s="1" customFormat="1" ht="22" customHeight="1">
      <c r="A140" s="62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U140" s="5"/>
      <c r="V140" s="5"/>
      <c r="W140" s="5"/>
    </row>
    <row r="141" spans="1:26" s="1" customFormat="1" ht="22" customHeight="1">
      <c r="A141" s="62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U141" s="5"/>
      <c r="V141" s="5"/>
      <c r="W141" s="5"/>
    </row>
    <row r="142" spans="1:26" ht="22" customHeight="1">
      <c r="A142" s="62"/>
      <c r="B142" s="88"/>
      <c r="C142" s="88"/>
      <c r="D142" s="88"/>
      <c r="E142" s="88"/>
      <c r="F142" s="88"/>
      <c r="G142" s="88"/>
      <c r="H142" s="88"/>
      <c r="I142" s="54"/>
      <c r="J142" s="54"/>
      <c r="K142" s="54"/>
      <c r="L142" s="54"/>
      <c r="M142" s="54"/>
      <c r="N142" s="1"/>
      <c r="O142" s="1"/>
      <c r="P142" s="1"/>
      <c r="Q142" s="1"/>
      <c r="R142" s="1"/>
      <c r="S142" s="1"/>
      <c r="T142" s="1"/>
      <c r="U142" s="4"/>
      <c r="V142" s="4"/>
      <c r="W142" s="4"/>
      <c r="X142" s="1"/>
      <c r="Y142" s="1"/>
      <c r="Z142" s="1"/>
    </row>
    <row r="143" spans="1:26" ht="22" customHeight="1">
      <c r="A143" s="62"/>
      <c r="B143" s="54"/>
      <c r="C143" s="62"/>
      <c r="D143" s="62"/>
      <c r="E143" s="62"/>
      <c r="F143" s="66"/>
      <c r="G143" s="54"/>
      <c r="H143" s="54"/>
      <c r="I143" s="54"/>
      <c r="J143" s="54"/>
      <c r="K143" s="54"/>
      <c r="L143" s="54"/>
      <c r="M143" s="54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4"/>
      <c r="Y143" s="4"/>
      <c r="Z143" s="1"/>
    </row>
    <row r="144" spans="1:26" ht="22" customHeight="1">
      <c r="A144" s="226"/>
      <c r="B144" s="227"/>
      <c r="C144" s="183"/>
      <c r="D144" s="183"/>
      <c r="E144" s="183"/>
      <c r="F144" s="183"/>
      <c r="G144" s="183"/>
      <c r="H144" s="183"/>
      <c r="I144" s="54"/>
      <c r="J144" s="54"/>
      <c r="K144" s="54"/>
      <c r="L144" s="54"/>
      <c r="M144" s="54"/>
      <c r="N144" s="1"/>
      <c r="O144" s="1"/>
      <c r="P144" s="1"/>
      <c r="Q144" s="1"/>
      <c r="R144" s="1"/>
      <c r="S144" s="1"/>
      <c r="T144" s="1"/>
      <c r="U144" s="5"/>
      <c r="V144" s="5"/>
      <c r="W144" s="5"/>
      <c r="X144" s="1"/>
      <c r="Y144" s="1"/>
      <c r="Z144" s="1"/>
    </row>
    <row r="145" spans="1:26" ht="22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1"/>
      <c r="O145" s="1"/>
      <c r="P145" s="1"/>
      <c r="Q145" s="1"/>
      <c r="R145" s="1"/>
      <c r="S145" s="1"/>
      <c r="T145" s="1"/>
      <c r="U145" s="5"/>
      <c r="V145" s="5"/>
      <c r="W145" s="5"/>
      <c r="X145" s="1"/>
      <c r="Y145" s="1"/>
      <c r="Z145" s="1"/>
    </row>
    <row r="146" spans="1:26" ht="22" customHeight="1">
      <c r="A146" s="61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2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0"/>
      <c r="Y147" s="10"/>
      <c r="Z147" s="1"/>
    </row>
    <row r="148" spans="1:26" ht="22" customHeight="1">
      <c r="A148" s="54"/>
      <c r="B148" s="54"/>
      <c r="C148" s="54"/>
      <c r="D148" s="54"/>
      <c r="E148" s="54"/>
      <c r="F148" s="228"/>
      <c r="G148" s="54"/>
      <c r="H148" s="54"/>
      <c r="I148" s="54"/>
      <c r="J148" s="54"/>
      <c r="K148" s="54"/>
      <c r="L148" s="54"/>
      <c r="M148" s="54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0"/>
      <c r="Y148" s="10"/>
    </row>
    <row r="149" spans="1:26" ht="22" customHeight="1">
      <c r="A149" s="54"/>
      <c r="B149" s="54"/>
      <c r="C149" s="54"/>
      <c r="D149" s="54"/>
      <c r="E149" s="54"/>
      <c r="F149" s="73"/>
      <c r="G149" s="54"/>
      <c r="H149" s="54"/>
      <c r="I149" s="54"/>
      <c r="J149" s="54"/>
      <c r="K149" s="54"/>
      <c r="L149" s="54"/>
      <c r="M149" s="54"/>
      <c r="U149" s="1"/>
      <c r="V149" s="1"/>
      <c r="W149" s="1"/>
      <c r="X149" s="2"/>
      <c r="Y149" s="2"/>
    </row>
    <row r="150" spans="1:26" ht="22" customHeight="1">
      <c r="A150" s="54"/>
      <c r="B150" s="54"/>
      <c r="C150" s="54"/>
      <c r="D150" s="54"/>
      <c r="E150" s="54"/>
      <c r="F150" s="73"/>
      <c r="G150" s="54"/>
      <c r="H150" s="54"/>
      <c r="I150" s="54"/>
      <c r="J150" s="54"/>
      <c r="K150" s="54"/>
      <c r="L150" s="54"/>
      <c r="M150" s="54"/>
      <c r="U150" s="4"/>
      <c r="V150" s="4"/>
      <c r="W150" s="4"/>
      <c r="X150" s="1"/>
      <c r="Y150" s="1"/>
    </row>
    <row r="151" spans="1:26" ht="22" customHeight="1">
      <c r="A151" s="54"/>
      <c r="B151" s="54"/>
      <c r="C151" s="54"/>
      <c r="D151" s="54"/>
      <c r="E151" s="54"/>
      <c r="F151" s="73"/>
      <c r="G151" s="54"/>
      <c r="H151" s="54"/>
      <c r="I151" s="54"/>
      <c r="J151" s="54"/>
      <c r="K151" s="54"/>
      <c r="L151" s="54"/>
      <c r="M151" s="54"/>
      <c r="U151" s="1"/>
      <c r="V151" s="1"/>
      <c r="W151" s="1"/>
      <c r="X151" s="1"/>
      <c r="Y151" s="1"/>
    </row>
    <row r="152" spans="1:26" ht="22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U152" s="1"/>
      <c r="V152" s="1"/>
      <c r="W152" s="1"/>
      <c r="X152" s="1"/>
      <c r="Y152" s="1"/>
    </row>
    <row r="153" spans="1:26" ht="22" customHeight="1">
      <c r="A153" s="61"/>
      <c r="B153" s="54"/>
      <c r="C153" s="54"/>
      <c r="D153" s="54"/>
      <c r="E153" s="54"/>
      <c r="F153" s="73"/>
      <c r="G153" s="54"/>
      <c r="H153" s="54"/>
      <c r="I153" s="54"/>
      <c r="J153" s="54"/>
      <c r="K153" s="54"/>
      <c r="L153" s="54"/>
      <c r="M153" s="54"/>
      <c r="U153" s="1"/>
      <c r="V153" s="1"/>
      <c r="W153" s="1"/>
      <c r="X153" s="1"/>
      <c r="Y153" s="1"/>
    </row>
    <row r="154" spans="1:26" ht="22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U154" s="10"/>
      <c r="V154" s="10"/>
      <c r="W154" s="10"/>
      <c r="X154" s="1"/>
      <c r="Y154" s="1"/>
    </row>
    <row r="155" spans="1:26" ht="22" customHeight="1">
      <c r="A155" s="62"/>
      <c r="B155" s="54"/>
      <c r="C155" s="54"/>
      <c r="D155" s="73"/>
      <c r="E155" s="54"/>
      <c r="F155" s="73"/>
      <c r="G155" s="54"/>
      <c r="H155" s="54"/>
      <c r="I155" s="54"/>
      <c r="J155" s="54"/>
      <c r="K155" s="54"/>
      <c r="L155" s="54"/>
      <c r="M155" s="54"/>
      <c r="U155" s="10"/>
      <c r="V155" s="10"/>
      <c r="W155" s="10"/>
      <c r="X155" s="1"/>
      <c r="Y155" s="1"/>
    </row>
    <row r="156" spans="1:26" ht="22" customHeight="1">
      <c r="A156" s="62"/>
      <c r="B156" s="54"/>
      <c r="C156" s="54"/>
      <c r="D156" s="54"/>
      <c r="E156" s="54"/>
      <c r="F156" s="73"/>
      <c r="G156" s="54"/>
      <c r="H156" s="54"/>
      <c r="I156" s="54"/>
      <c r="J156" s="54"/>
      <c r="K156" s="54"/>
      <c r="L156" s="54"/>
      <c r="M156" s="54"/>
      <c r="U156" s="2"/>
      <c r="V156" s="2"/>
      <c r="W156" s="2"/>
      <c r="X156" s="1"/>
      <c r="Y156" s="1"/>
    </row>
    <row r="157" spans="1:26" ht="22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U157" s="1"/>
      <c r="V157" s="1"/>
      <c r="W157" s="1"/>
      <c r="X157" s="1"/>
      <c r="Y157" s="1"/>
    </row>
    <row r="158" spans="1:26" ht="22" customHeight="1">
      <c r="A158" s="62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U158" s="1"/>
      <c r="V158" s="1"/>
      <c r="W158" s="1"/>
      <c r="X158" s="1"/>
      <c r="Y158" s="1"/>
    </row>
    <row r="159" spans="1:26" ht="22" customHeight="1">
      <c r="A159" s="62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U159" s="1"/>
      <c r="V159" s="1"/>
      <c r="W159" s="1"/>
    </row>
    <row r="160" spans="1:26" ht="22" customHeight="1">
      <c r="A160" s="62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U160" s="1"/>
      <c r="V160" s="1"/>
      <c r="W160" s="1"/>
    </row>
    <row r="161" spans="1:23" ht="22" customHeight="1">
      <c r="A161" s="62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U161" s="1"/>
      <c r="V161" s="1"/>
      <c r="W161" s="1"/>
    </row>
    <row r="162" spans="1:23" ht="22" customHeight="1">
      <c r="A162" s="62"/>
      <c r="B162" s="54"/>
      <c r="C162" s="54"/>
      <c r="D162" s="54"/>
      <c r="E162" s="54"/>
      <c r="F162" s="73"/>
      <c r="G162" s="54"/>
      <c r="H162" s="54"/>
      <c r="I162" s="54"/>
      <c r="J162" s="54"/>
      <c r="K162" s="54"/>
      <c r="L162" s="54"/>
      <c r="M162" s="54"/>
    </row>
    <row r="163" spans="1:23" ht="22" customHeight="1">
      <c r="A163" s="62"/>
      <c r="B163" s="54"/>
      <c r="C163" s="54"/>
      <c r="D163" s="54"/>
      <c r="E163" s="54"/>
      <c r="F163" s="73"/>
      <c r="G163" s="54"/>
      <c r="H163" s="54"/>
      <c r="I163" s="54"/>
      <c r="J163" s="54"/>
      <c r="K163" s="54"/>
      <c r="L163" s="54"/>
      <c r="M163" s="54"/>
    </row>
    <row r="164" spans="1:23" ht="22" customHeight="1">
      <c r="A164" s="62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</row>
    <row r="165" spans="1:23" ht="22" customHeight="1">
      <c r="A165" s="62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</row>
    <row r="166" spans="1:23" ht="22" customHeight="1">
      <c r="A166" s="98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</row>
    <row r="167" spans="1:23" ht="22" customHeight="1">
      <c r="A167" s="62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</row>
    <row r="168" spans="1:23" ht="22" customHeight="1">
      <c r="A168" s="62"/>
      <c r="B168" s="54"/>
      <c r="C168" s="54"/>
      <c r="D168" s="54"/>
      <c r="E168" s="54"/>
      <c r="F168" s="73"/>
      <c r="G168" s="54"/>
      <c r="H168" s="54"/>
      <c r="I168" s="54"/>
      <c r="J168" s="54"/>
      <c r="K168" s="54"/>
      <c r="L168" s="54"/>
      <c r="M168" s="54"/>
    </row>
    <row r="169" spans="1:23" ht="22" customHeight="1">
      <c r="A169" s="62"/>
      <c r="B169" s="54"/>
      <c r="C169" s="54"/>
      <c r="D169" s="54"/>
      <c r="E169" s="54"/>
      <c r="F169" s="73"/>
      <c r="G169" s="54"/>
      <c r="H169" s="54"/>
      <c r="I169" s="54"/>
      <c r="J169" s="54"/>
      <c r="K169" s="54"/>
      <c r="L169" s="54"/>
      <c r="M169" s="54"/>
    </row>
    <row r="170" spans="1:23" ht="22" customHeight="1">
      <c r="A170" s="62"/>
      <c r="B170" s="54"/>
      <c r="C170" s="54"/>
      <c r="D170" s="54"/>
      <c r="E170" s="54"/>
      <c r="F170" s="73"/>
      <c r="G170" s="54"/>
      <c r="H170" s="54"/>
      <c r="I170" s="54"/>
      <c r="J170" s="54"/>
      <c r="K170" s="54"/>
      <c r="L170" s="54"/>
      <c r="M170" s="54"/>
    </row>
    <row r="171" spans="1:23" ht="22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</row>
    <row r="172" spans="1:23" ht="22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</row>
    <row r="173" spans="1:23" ht="22" customHeight="1">
      <c r="A173" s="98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</row>
    <row r="174" spans="1:23" ht="22" customHeight="1">
      <c r="A174" s="62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</row>
    <row r="175" spans="1:23" ht="22" customHeight="1">
      <c r="A175" s="66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</row>
    <row r="176" spans="1:23" ht="22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</row>
    <row r="177" spans="1:13" ht="22" customHeight="1">
      <c r="A177" s="66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</row>
    <row r="178" spans="1:13" ht="22" customHeight="1">
      <c r="A178" s="66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</row>
    <row r="179" spans="1:13" ht="22" customHeight="1">
      <c r="A179" s="66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</row>
    <row r="180" spans="1:13" ht="22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</row>
    <row r="181" spans="1:13" ht="22" customHeight="1">
      <c r="A181" s="66"/>
      <c r="B181" s="71"/>
      <c r="C181" s="71"/>
      <c r="D181" s="71"/>
      <c r="E181" s="71"/>
      <c r="F181" s="71"/>
      <c r="G181" s="71"/>
      <c r="H181" s="71"/>
      <c r="I181" s="71"/>
      <c r="J181" s="54"/>
      <c r="K181" s="54"/>
      <c r="L181" s="54"/>
      <c r="M181" s="54"/>
    </row>
    <row r="182" spans="1:13" ht="22" customHeight="1">
      <c r="A182" s="66"/>
      <c r="B182" s="54"/>
      <c r="C182" s="54"/>
      <c r="D182" s="54"/>
      <c r="E182" s="54"/>
      <c r="F182" s="54"/>
      <c r="G182" s="73"/>
      <c r="H182" s="73"/>
      <c r="I182" s="73"/>
      <c r="J182" s="54"/>
      <c r="K182" s="54"/>
      <c r="L182" s="54"/>
      <c r="M182" s="54"/>
    </row>
    <row r="183" spans="1:13" ht="22" customHeight="1">
      <c r="A183" s="66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</row>
    <row r="184" spans="1:13" ht="22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</row>
    <row r="185" spans="1:13" ht="22" customHeight="1">
      <c r="A185" s="4"/>
      <c r="B185" s="36"/>
    </row>
    <row r="186" spans="1:13" ht="22" customHeight="1">
      <c r="A186" s="4"/>
      <c r="B186" s="35"/>
    </row>
    <row r="187" spans="1:13" ht="22" customHeight="1">
      <c r="A187" s="4"/>
    </row>
    <row r="188" spans="1:13" ht="22" customHeight="1">
      <c r="A188" s="4"/>
      <c r="B188" s="14"/>
    </row>
    <row r="189" spans="1:13" ht="22" customHeight="1">
      <c r="A189" s="4"/>
      <c r="B189" s="1"/>
    </row>
    <row r="190" spans="1:13" ht="22" customHeight="1">
      <c r="A190" s="4"/>
      <c r="B190" s="14"/>
    </row>
    <row r="191" spans="1:13" ht="22" customHeight="1">
      <c r="A191" s="4"/>
      <c r="B191" s="1"/>
    </row>
    <row r="192" spans="1:13" ht="22" customHeight="1">
      <c r="A192" s="4"/>
      <c r="B192" s="14"/>
    </row>
    <row r="193" spans="1:9" ht="22" customHeight="1">
      <c r="A193" s="4"/>
      <c r="B193" s="14"/>
    </row>
    <row r="194" spans="1:9" ht="22" customHeight="1">
      <c r="A194" s="1"/>
    </row>
    <row r="195" spans="1:9" ht="22" customHeight="1">
      <c r="A195" s="1"/>
    </row>
    <row r="196" spans="1:9" ht="22" customHeight="1">
      <c r="A196" s="41"/>
    </row>
    <row r="197" spans="1:9" ht="22" customHeight="1">
      <c r="A197" s="30"/>
      <c r="B197" s="1"/>
      <c r="C197" s="1"/>
      <c r="D197" s="1"/>
      <c r="E197" s="1"/>
      <c r="F197" s="1"/>
      <c r="G197" s="1"/>
      <c r="H197" s="1"/>
      <c r="I197" s="1"/>
    </row>
    <row r="198" spans="1:9" ht="22" customHeight="1">
      <c r="A198" s="30"/>
      <c r="B198" s="26"/>
      <c r="C198" s="26"/>
      <c r="D198" s="26"/>
      <c r="E198" s="26"/>
      <c r="F198" s="26"/>
      <c r="G198" s="26"/>
      <c r="H198" s="26"/>
      <c r="I198" s="1"/>
    </row>
    <row r="199" spans="1:9" ht="22" customHeight="1">
      <c r="A199" s="30"/>
      <c r="B199" s="1"/>
      <c r="C199" s="1"/>
      <c r="D199" s="1"/>
      <c r="E199" s="1"/>
      <c r="F199" s="1"/>
      <c r="G199" s="1"/>
      <c r="H199" s="1"/>
      <c r="I199" s="1"/>
    </row>
    <row r="200" spans="1:9" ht="22" customHeight="1">
      <c r="A200" s="30"/>
      <c r="B200" s="1"/>
      <c r="C200" s="1"/>
      <c r="D200" s="1"/>
      <c r="E200" s="1"/>
      <c r="F200" s="1"/>
      <c r="G200" s="1"/>
      <c r="H200" s="1"/>
      <c r="I200" s="1"/>
    </row>
    <row r="201" spans="1:9" ht="22" customHeight="1">
      <c r="A201" s="30"/>
      <c r="B201" s="1"/>
      <c r="C201" s="1"/>
      <c r="D201" s="1"/>
      <c r="E201" s="1"/>
      <c r="F201" s="1"/>
      <c r="G201" s="1"/>
      <c r="H201" s="1"/>
      <c r="I201" s="1"/>
    </row>
    <row r="202" spans="1:9" ht="22" customHeight="1">
      <c r="A202" s="30"/>
      <c r="B202" s="1"/>
      <c r="C202" s="1"/>
      <c r="D202" s="1"/>
      <c r="E202" s="1"/>
      <c r="F202" s="1"/>
      <c r="G202" s="1"/>
      <c r="H202" s="1"/>
      <c r="I202" s="1"/>
    </row>
    <row r="203" spans="1:9" ht="22" customHeight="1">
      <c r="A203" s="30"/>
      <c r="B203" s="1"/>
      <c r="C203" s="1"/>
      <c r="D203" s="1"/>
      <c r="E203" s="1"/>
      <c r="F203" s="1"/>
      <c r="G203" s="1"/>
      <c r="H203" s="1"/>
      <c r="I203" s="1"/>
    </row>
    <row r="204" spans="1:9" ht="22" customHeight="1">
      <c r="A204" s="30"/>
      <c r="B204" s="36"/>
      <c r="C204" s="36"/>
      <c r="D204" s="36"/>
      <c r="E204" s="36"/>
      <c r="F204" s="36"/>
      <c r="G204" s="36"/>
      <c r="H204" s="36"/>
      <c r="I204" s="1"/>
    </row>
    <row r="205" spans="1:9" ht="22" customHeight="1">
      <c r="A205" s="30"/>
      <c r="B205" s="1"/>
      <c r="C205" s="36"/>
      <c r="D205" s="36"/>
      <c r="E205" s="36"/>
      <c r="F205" s="36"/>
      <c r="G205" s="36"/>
      <c r="H205" s="36"/>
      <c r="I205" s="1"/>
    </row>
    <row r="206" spans="1:9" ht="22" customHeight="1">
      <c r="A206" s="30"/>
      <c r="B206" s="36"/>
      <c r="C206" s="36"/>
      <c r="D206" s="36"/>
      <c r="E206" s="36"/>
      <c r="F206" s="36"/>
      <c r="G206" s="36"/>
      <c r="H206" s="36"/>
      <c r="I206" s="1"/>
    </row>
    <row r="207" spans="1:9" ht="22" customHeight="1">
      <c r="A207" s="30"/>
      <c r="B207" s="51"/>
      <c r="C207" s="51"/>
      <c r="D207" s="51"/>
      <c r="E207" s="51"/>
      <c r="F207" s="51"/>
      <c r="G207" s="51"/>
      <c r="H207" s="51"/>
      <c r="I207" s="1"/>
    </row>
    <row r="208" spans="1:9" ht="22" customHeight="1">
      <c r="A208" s="30"/>
      <c r="B208" s="51"/>
      <c r="C208" s="51"/>
      <c r="D208" s="51"/>
      <c r="E208" s="51"/>
      <c r="F208" s="51"/>
      <c r="G208" s="51"/>
      <c r="H208" s="51"/>
      <c r="I208" s="1"/>
    </row>
    <row r="209" spans="1:9" ht="22" customHeight="1">
      <c r="A209" s="30"/>
      <c r="B209" s="35"/>
      <c r="C209" s="35"/>
      <c r="D209" s="35"/>
      <c r="E209" s="35"/>
      <c r="F209" s="35"/>
      <c r="G209" s="1"/>
      <c r="H209" s="1"/>
      <c r="I209" s="1"/>
    </row>
    <row r="210" spans="1:9" ht="22" customHeight="1">
      <c r="A210" s="30"/>
      <c r="B210" s="38"/>
      <c r="C210" s="38"/>
      <c r="D210" s="38"/>
      <c r="E210" s="38"/>
      <c r="F210" s="38"/>
      <c r="G210" s="38"/>
      <c r="H210" s="38"/>
      <c r="I210" s="1"/>
    </row>
    <row r="211" spans="1:9" ht="22" customHeight="1">
      <c r="A211" s="1"/>
      <c r="B211" s="1"/>
      <c r="C211" s="1"/>
      <c r="D211" s="1"/>
      <c r="E211" s="1"/>
      <c r="F211" s="1"/>
      <c r="G211" s="1"/>
      <c r="H211" s="1"/>
      <c r="I211" s="1"/>
    </row>
    <row r="212" spans="1:9" ht="22" customHeight="1">
      <c r="A212" s="24"/>
      <c r="B212" s="1"/>
      <c r="C212" s="1"/>
      <c r="D212" s="1"/>
      <c r="E212" s="1"/>
      <c r="F212" s="1"/>
      <c r="G212" s="1"/>
      <c r="H212" s="1"/>
      <c r="I212" s="1"/>
    </row>
    <row r="213" spans="1:9" ht="22" customHeight="1">
      <c r="A213" s="1"/>
      <c r="B213" s="1"/>
      <c r="C213" s="1"/>
      <c r="D213" s="1"/>
      <c r="E213" s="1"/>
      <c r="F213" s="1"/>
      <c r="G213" s="1"/>
      <c r="H213" s="1"/>
      <c r="I213" s="1"/>
    </row>
    <row r="214" spans="1:9" ht="22" customHeight="1">
      <c r="A214" s="1"/>
      <c r="B214" s="27"/>
      <c r="C214" s="1"/>
      <c r="D214" s="1"/>
      <c r="E214" s="1"/>
      <c r="F214" s="1"/>
      <c r="G214" s="1"/>
      <c r="H214" s="1"/>
      <c r="I214" s="1"/>
    </row>
    <row r="215" spans="1:9" ht="22" customHeight="1">
      <c r="A215" s="1"/>
      <c r="B215" s="1"/>
      <c r="D215" s="1"/>
      <c r="E215" s="1"/>
      <c r="F215" s="1"/>
      <c r="G215" s="1"/>
      <c r="H215" s="1"/>
      <c r="I215" s="1"/>
    </row>
    <row r="216" spans="1:9" ht="22" customHeight="1">
      <c r="A216" s="1"/>
      <c r="B216" s="1"/>
      <c r="C216" s="1"/>
      <c r="D216" s="1"/>
      <c r="E216" s="1"/>
      <c r="F216" s="1"/>
      <c r="G216" s="1"/>
      <c r="H216" s="1"/>
      <c r="I216" s="1"/>
    </row>
    <row r="217" spans="1:9" ht="22" customHeight="1">
      <c r="A217" s="1"/>
      <c r="B217" s="1"/>
      <c r="C217" s="1"/>
      <c r="D217" s="1"/>
      <c r="E217" s="1"/>
      <c r="F217" s="1"/>
      <c r="G217" s="1"/>
      <c r="H217" s="1"/>
      <c r="I217" s="1"/>
    </row>
    <row r="218" spans="1:9" ht="22" customHeight="1">
      <c r="A218" s="1"/>
      <c r="B218" s="14"/>
      <c r="C218" s="1"/>
      <c r="D218" s="1"/>
      <c r="E218" s="1"/>
      <c r="F218" s="1"/>
      <c r="G218" s="1"/>
      <c r="H218" s="1"/>
      <c r="I218" s="1"/>
    </row>
    <row r="219" spans="1:9" ht="22" customHeight="1">
      <c r="A219" s="1"/>
      <c r="B219" s="1"/>
      <c r="C219" s="1"/>
      <c r="D219" s="1"/>
      <c r="E219" s="1"/>
      <c r="F219" s="1"/>
      <c r="G219" s="1"/>
      <c r="H219" s="1"/>
      <c r="I219" s="1"/>
    </row>
    <row r="220" spans="1:9" ht="22" customHeight="1">
      <c r="A220" s="1"/>
      <c r="B220" s="1"/>
      <c r="C220" s="1"/>
      <c r="D220" s="1"/>
      <c r="E220" s="1"/>
      <c r="F220" s="1"/>
      <c r="G220" s="1"/>
      <c r="H220" s="1"/>
      <c r="I220" s="1"/>
    </row>
    <row r="221" spans="1:9" ht="22" customHeight="1">
      <c r="A221" s="1"/>
      <c r="B221" s="14"/>
      <c r="C221" s="1"/>
      <c r="D221" s="1"/>
      <c r="E221" s="1"/>
      <c r="F221" s="1"/>
      <c r="G221" s="1"/>
      <c r="H221" s="1"/>
      <c r="I221" s="1"/>
    </row>
    <row r="222" spans="1:9" ht="22" customHeight="1">
      <c r="A222" s="1"/>
      <c r="B222" s="14"/>
      <c r="C222" s="1"/>
      <c r="D222" s="1"/>
      <c r="E222" s="1"/>
      <c r="F222" s="1"/>
      <c r="G222" s="1"/>
      <c r="H222" s="1"/>
      <c r="I222" s="1"/>
    </row>
    <row r="223" spans="1:9" ht="22" customHeight="1">
      <c r="A223" s="1"/>
      <c r="B223" s="1"/>
      <c r="C223" s="1"/>
      <c r="D223" s="1"/>
      <c r="E223" s="1"/>
      <c r="F223" s="1"/>
      <c r="G223" s="1"/>
      <c r="H223" s="1"/>
      <c r="I223" s="1"/>
    </row>
  </sheetData>
  <phoneticPr fontId="0" type="noConversion"/>
  <pageMargins left="0.75" right="0.75" top="1" bottom="1" header="0.5" footer="0.5"/>
  <pageSetup scale="40" orientation="landscape" horizontalDpi="4294967292" verticalDpi="4294967292"/>
  <headerFooter alignWithMargins="0"/>
  <ignoredErrors>
    <ignoredError sqref="H20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07B2A-C0BD-794E-9209-E2D10CF3C9C9}">
  <dimension ref="A1:AL235"/>
  <sheetViews>
    <sheetView zoomScale="50" zoomScaleNormal="75" workbookViewId="0">
      <pane ySplit="6" topLeftCell="A161" activePane="bottomLeft" state="frozen"/>
      <selection pane="bottomLeft" activeCell="N193" sqref="N193"/>
    </sheetView>
  </sheetViews>
  <sheetFormatPr baseColWidth="10" defaultColWidth="9.33203125" defaultRowHeight="22" customHeight="1"/>
  <cols>
    <col min="1" max="1" width="44.33203125" style="7" customWidth="1"/>
    <col min="2" max="2" width="70.5" style="7" customWidth="1"/>
    <col min="3" max="3" width="14.1640625" style="7" customWidth="1"/>
    <col min="4" max="4" width="12.83203125" style="7" customWidth="1"/>
    <col min="5" max="5" width="15.5" style="7" customWidth="1"/>
    <col min="6" max="6" width="14.1640625" style="7" customWidth="1"/>
    <col min="7" max="7" width="12.83203125" style="7" customWidth="1"/>
    <col min="8" max="8" width="14.83203125" style="7" customWidth="1"/>
    <col min="9" max="9" width="14.5" style="7" customWidth="1"/>
    <col min="10" max="10" width="12.83203125" style="7" customWidth="1"/>
    <col min="11" max="12" width="14" style="7" customWidth="1"/>
    <col min="13" max="15" width="12.83203125" style="7" customWidth="1"/>
    <col min="16" max="16" width="38.6640625" style="7" customWidth="1"/>
    <col min="17" max="20" width="12.83203125" style="7" customWidth="1"/>
    <col min="21" max="21" width="13.33203125" style="7" bestFit="1" customWidth="1"/>
    <col min="22" max="25" width="12.83203125" style="7" customWidth="1"/>
    <col min="26" max="26" width="14.1640625" style="7" bestFit="1" customWidth="1"/>
    <col min="27" max="16384" width="9.33203125" style="7"/>
  </cols>
  <sheetData>
    <row r="1" spans="1:38" s="1" customFormat="1" ht="22" customHeight="1">
      <c r="A1" s="53" t="s">
        <v>0</v>
      </c>
      <c r="B1" s="53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</row>
    <row r="2" spans="1:38" s="1" customFormat="1" ht="22" customHeight="1">
      <c r="A2" s="54" t="s">
        <v>64</v>
      </c>
      <c r="B2" s="54"/>
      <c r="C2" s="54"/>
      <c r="D2" s="54"/>
      <c r="E2" s="54"/>
      <c r="F2" s="54"/>
      <c r="G2" s="56"/>
      <c r="H2" s="56"/>
      <c r="I2" s="54"/>
      <c r="J2" s="56"/>
      <c r="K2" s="56"/>
      <c r="L2" s="54"/>
      <c r="M2" s="54"/>
      <c r="N2" s="54"/>
      <c r="O2" s="56"/>
      <c r="P2" s="56"/>
      <c r="Q2" s="54"/>
      <c r="R2" s="54"/>
      <c r="S2" s="54"/>
      <c r="T2" s="56"/>
      <c r="U2" s="159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</row>
    <row r="3" spans="1:38" s="1" customFormat="1" ht="22" customHeight="1">
      <c r="A3" s="54" t="s">
        <v>65</v>
      </c>
      <c r="B3" s="54"/>
      <c r="C3" s="54"/>
      <c r="D3" s="54"/>
      <c r="E3" s="54"/>
      <c r="F3" s="54"/>
      <c r="G3" s="56"/>
      <c r="H3" s="56"/>
      <c r="I3" s="54"/>
      <c r="J3" s="56"/>
      <c r="K3" s="56"/>
      <c r="L3" s="54"/>
      <c r="M3" s="54"/>
      <c r="N3" s="54"/>
      <c r="O3" s="56"/>
      <c r="P3" s="56"/>
      <c r="Q3" s="54"/>
      <c r="R3" s="54"/>
      <c r="S3" s="54"/>
      <c r="T3" s="56"/>
      <c r="U3" s="56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</row>
    <row r="4" spans="1:38" s="1" customFormat="1" ht="22" customHeight="1">
      <c r="A4" s="54" t="s">
        <v>4</v>
      </c>
      <c r="B4" s="54"/>
      <c r="C4" s="54"/>
      <c r="D4" s="54"/>
      <c r="E4" s="54"/>
      <c r="F4" s="54"/>
      <c r="G4" s="56"/>
      <c r="H4" s="56"/>
      <c r="I4" s="54"/>
      <c r="J4" s="56"/>
      <c r="K4" s="56"/>
      <c r="L4" s="54"/>
      <c r="M4" s="54"/>
      <c r="N4" s="54"/>
      <c r="O4" s="56"/>
      <c r="P4" s="56"/>
      <c r="Q4" s="54"/>
      <c r="R4" s="54"/>
      <c r="S4" s="54"/>
      <c r="T4" s="56"/>
      <c r="U4" s="56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</row>
    <row r="5" spans="1:38" s="1" customFormat="1" ht="22" customHeight="1">
      <c r="A5" s="54" t="s">
        <v>119</v>
      </c>
      <c r="B5" s="54"/>
      <c r="C5" s="54"/>
      <c r="D5" s="54"/>
      <c r="E5" s="54"/>
      <c r="F5" s="54"/>
      <c r="G5" s="56"/>
      <c r="H5" s="56"/>
      <c r="I5" s="54"/>
      <c r="J5" s="56"/>
      <c r="K5" s="56"/>
      <c r="L5" s="54"/>
      <c r="M5" s="54"/>
      <c r="N5" s="54"/>
      <c r="O5" s="56"/>
      <c r="P5" s="56"/>
      <c r="Q5" s="54"/>
      <c r="R5" s="54"/>
      <c r="S5" s="54"/>
      <c r="T5" s="56"/>
      <c r="U5" s="56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</row>
    <row r="6" spans="1:38" s="1" customFormat="1" ht="22" customHeight="1">
      <c r="A6" s="149" t="s">
        <v>2</v>
      </c>
      <c r="B6" s="149" t="s">
        <v>3</v>
      </c>
      <c r="C6" s="149">
        <v>2020</v>
      </c>
      <c r="D6" s="149">
        <v>2021</v>
      </c>
      <c r="E6" s="149">
        <v>2022</v>
      </c>
      <c r="F6" s="149">
        <v>2023</v>
      </c>
      <c r="G6" s="149">
        <v>2024</v>
      </c>
      <c r="H6" s="149">
        <v>2025</v>
      </c>
      <c r="I6" s="149">
        <v>2026</v>
      </c>
      <c r="J6" s="149">
        <v>2027</v>
      </c>
      <c r="K6" s="149">
        <v>2028</v>
      </c>
      <c r="L6" s="149">
        <v>2029</v>
      </c>
      <c r="M6" s="149">
        <v>2030</v>
      </c>
      <c r="N6" s="149">
        <v>2031</v>
      </c>
      <c r="O6" s="160"/>
      <c r="P6" s="160"/>
      <c r="Q6" s="160"/>
      <c r="R6" s="160"/>
      <c r="S6" s="54"/>
      <c r="T6" s="160"/>
      <c r="U6" s="160"/>
      <c r="V6" s="160"/>
      <c r="W6" s="160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</row>
    <row r="7" spans="1:38" s="1" customFormat="1" ht="22" customHeight="1">
      <c r="A7" s="57" t="s">
        <v>66</v>
      </c>
      <c r="B7" s="54" t="s">
        <v>71</v>
      </c>
      <c r="C7" s="157" t="s">
        <v>90</v>
      </c>
      <c r="D7" s="157" t="s">
        <v>90</v>
      </c>
      <c r="E7" s="157" t="s">
        <v>90</v>
      </c>
      <c r="F7" s="157" t="s">
        <v>90</v>
      </c>
      <c r="G7" s="157" t="s">
        <v>90</v>
      </c>
      <c r="H7" s="157" t="s">
        <v>90</v>
      </c>
      <c r="I7" s="155">
        <v>-0.03</v>
      </c>
      <c r="J7" s="155">
        <v>-1.4999999999999999E-2</v>
      </c>
      <c r="K7" s="79">
        <f>0</f>
        <v>0</v>
      </c>
      <c r="L7" s="79">
        <f>0</f>
        <v>0</v>
      </c>
      <c r="M7" s="79">
        <f>0</f>
        <v>0</v>
      </c>
      <c r="N7" s="79">
        <f>0</f>
        <v>0</v>
      </c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</row>
    <row r="8" spans="1:38" s="1" customFormat="1" ht="22" customHeight="1">
      <c r="A8" s="54"/>
      <c r="B8" s="64" t="s">
        <v>72</v>
      </c>
      <c r="C8" s="157" t="s">
        <v>90</v>
      </c>
      <c r="D8" s="157" t="s">
        <v>90</v>
      </c>
      <c r="E8" s="157" t="s">
        <v>90</v>
      </c>
      <c r="F8" s="157" t="s">
        <v>90</v>
      </c>
      <c r="G8" s="157" t="s">
        <v>90</v>
      </c>
      <c r="H8" s="157" t="s">
        <v>90</v>
      </c>
      <c r="I8" s="154">
        <v>-0.02</v>
      </c>
      <c r="J8" s="154">
        <v>-1.4999999999999999E-2</v>
      </c>
      <c r="K8" s="79">
        <f>0</f>
        <v>0</v>
      </c>
      <c r="L8" s="79">
        <f>0</f>
        <v>0</v>
      </c>
      <c r="M8" s="79">
        <f>0</f>
        <v>0</v>
      </c>
      <c r="N8" s="79">
        <f>0</f>
        <v>0</v>
      </c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</row>
    <row r="9" spans="1:38" s="2" customFormat="1" ht="22" customHeight="1">
      <c r="A9" s="64"/>
      <c r="B9" s="64" t="s">
        <v>93</v>
      </c>
      <c r="C9" s="157" t="s">
        <v>90</v>
      </c>
      <c r="D9" s="157" t="s">
        <v>90</v>
      </c>
      <c r="E9" s="157" t="s">
        <v>90</v>
      </c>
      <c r="F9" s="157" t="s">
        <v>90</v>
      </c>
      <c r="G9" s="157" t="s">
        <v>90</v>
      </c>
      <c r="H9" s="157" t="s">
        <v>90</v>
      </c>
      <c r="I9" s="64">
        <v>0</v>
      </c>
      <c r="J9" s="154">
        <v>0</v>
      </c>
      <c r="K9" s="64">
        <v>0</v>
      </c>
      <c r="L9" s="156">
        <v>7.4999999999999997E-3</v>
      </c>
      <c r="M9" s="64">
        <v>0</v>
      </c>
      <c r="N9" s="64">
        <v>0</v>
      </c>
      <c r="O9" s="64"/>
      <c r="P9" s="71"/>
      <c r="Q9" s="71"/>
      <c r="R9" s="71"/>
      <c r="S9" s="71"/>
      <c r="T9" s="71"/>
      <c r="U9" s="71"/>
      <c r="V9" s="71"/>
      <c r="W9" s="71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</row>
    <row r="10" spans="1:38" s="1" customFormat="1" ht="22" customHeight="1">
      <c r="A10" s="64"/>
      <c r="B10" s="64" t="s">
        <v>91</v>
      </c>
      <c r="C10" s="157" t="s">
        <v>90</v>
      </c>
      <c r="D10" s="157" t="s">
        <v>90</v>
      </c>
      <c r="E10" s="157" t="s">
        <v>90</v>
      </c>
      <c r="F10" s="157" t="s">
        <v>90</v>
      </c>
      <c r="G10" s="157" t="s">
        <v>90</v>
      </c>
      <c r="H10" s="157" t="s">
        <v>90</v>
      </c>
      <c r="I10" s="158">
        <f>SUM(I7:I9)</f>
        <v>-0.05</v>
      </c>
      <c r="J10" s="158">
        <f>SUM(J7:J9)</f>
        <v>-0.03</v>
      </c>
      <c r="K10" s="158">
        <f>SUM(K7:K9)</f>
        <v>0</v>
      </c>
      <c r="L10" s="158">
        <f t="shared" ref="L10:N10" si="0">SUM(L7:L9)</f>
        <v>7.4999999999999997E-3</v>
      </c>
      <c r="M10" s="158">
        <f t="shared" si="0"/>
        <v>0</v>
      </c>
      <c r="N10" s="158">
        <f t="shared" si="0"/>
        <v>0</v>
      </c>
      <c r="O10" s="71"/>
      <c r="P10" s="71"/>
      <c r="Q10" s="71"/>
      <c r="R10" s="71"/>
      <c r="S10" s="71"/>
      <c r="T10" s="71"/>
      <c r="U10" s="71"/>
      <c r="V10" s="71"/>
      <c r="W10" s="71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</row>
    <row r="11" spans="1:38" s="1" customFormat="1" ht="22" customHeight="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71"/>
      <c r="P11" s="71"/>
      <c r="Q11" s="71"/>
      <c r="R11" s="71"/>
      <c r="S11" s="71"/>
      <c r="T11" s="71"/>
      <c r="U11" s="71"/>
      <c r="V11" s="71"/>
      <c r="W11" s="71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</row>
    <row r="12" spans="1:38" s="1" customFormat="1" ht="22" customHeight="1">
      <c r="A12" s="54" t="s">
        <v>94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71"/>
      <c r="P12" s="71"/>
      <c r="Q12" s="71"/>
      <c r="R12" s="71"/>
      <c r="S12" s="71"/>
      <c r="T12" s="71"/>
      <c r="U12" s="71"/>
      <c r="V12" s="71"/>
      <c r="W12" s="71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</row>
    <row r="13" spans="1:38" s="1" customFormat="1" ht="22" customHeight="1">
      <c r="A13" s="152" t="s">
        <v>70</v>
      </c>
      <c r="B13" s="54" t="s">
        <v>82</v>
      </c>
      <c r="C13" s="71">
        <v>2001</v>
      </c>
      <c r="D13" s="71">
        <v>3587</v>
      </c>
      <c r="E13" s="71">
        <v>5804</v>
      </c>
      <c r="F13" s="71">
        <v>6215</v>
      </c>
      <c r="G13" s="71">
        <v>6028</v>
      </c>
      <c r="H13" s="71">
        <v>6127</v>
      </c>
      <c r="I13" s="83">
        <f>H13*(1+I10)</f>
        <v>5820.65</v>
      </c>
      <c r="J13" s="83">
        <f t="shared" ref="J13:N13" si="1">I13*(1+J10)</f>
        <v>5646.0304999999998</v>
      </c>
      <c r="K13" s="83">
        <f t="shared" si="1"/>
        <v>5646.0304999999998</v>
      </c>
      <c r="L13" s="83">
        <f t="shared" si="1"/>
        <v>5688.3757287500002</v>
      </c>
      <c r="M13" s="83">
        <f t="shared" si="1"/>
        <v>5688.3757287500002</v>
      </c>
      <c r="N13" s="83">
        <f t="shared" si="1"/>
        <v>5688.3757287500002</v>
      </c>
      <c r="O13" s="71"/>
      <c r="P13" s="71"/>
      <c r="Q13" s="71"/>
      <c r="R13" s="71"/>
      <c r="S13" s="71"/>
      <c r="T13" s="71"/>
      <c r="U13" s="71"/>
      <c r="V13" s="71"/>
      <c r="W13" s="71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</row>
    <row r="14" spans="1:38" s="1" customFormat="1" ht="22" customHeight="1">
      <c r="A14" s="136"/>
      <c r="B14" s="64" t="s">
        <v>67</v>
      </c>
      <c r="C14" s="72">
        <f>(C13-3526)/3526</f>
        <v>-0.43250141803743619</v>
      </c>
      <c r="D14" s="72">
        <f>(D13-C13)/C13</f>
        <v>0.79260369815092457</v>
      </c>
      <c r="E14" s="72">
        <f t="shared" ref="E14:N14" si="2">(E13-D13)/D13</f>
        <v>0.61806523557290216</v>
      </c>
      <c r="F14" s="72">
        <f t="shared" si="2"/>
        <v>7.08132322536182E-2</v>
      </c>
      <c r="G14" s="72">
        <f t="shared" si="2"/>
        <v>-3.0088495575221239E-2</v>
      </c>
      <c r="H14" s="72">
        <f t="shared" si="2"/>
        <v>1.6423357664233577E-2</v>
      </c>
      <c r="I14" s="151">
        <f t="shared" si="2"/>
        <v>-5.0000000000000058E-2</v>
      </c>
      <c r="J14" s="151">
        <f t="shared" si="2"/>
        <v>-2.9999999999999964E-2</v>
      </c>
      <c r="K14" s="151">
        <f t="shared" si="2"/>
        <v>0</v>
      </c>
      <c r="L14" s="151">
        <f t="shared" si="2"/>
        <v>7.5000000000000691E-3</v>
      </c>
      <c r="M14" s="151">
        <f t="shared" si="2"/>
        <v>0</v>
      </c>
      <c r="N14" s="151">
        <f t="shared" si="2"/>
        <v>0</v>
      </c>
      <c r="O14" s="71"/>
      <c r="P14" s="71"/>
      <c r="Q14" s="71"/>
      <c r="R14" s="71"/>
      <c r="S14" s="71"/>
      <c r="T14" s="71"/>
      <c r="U14" s="71"/>
      <c r="V14" s="71"/>
      <c r="W14" s="71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</row>
    <row r="15" spans="1:38" s="1" customFormat="1" ht="22" customHeight="1">
      <c r="A15" s="152"/>
      <c r="B15" s="54" t="s">
        <v>68</v>
      </c>
      <c r="C15" s="84">
        <v>0.23499999999999999</v>
      </c>
      <c r="D15" s="79">
        <v>0.246</v>
      </c>
      <c r="E15" s="79">
        <v>0.24</v>
      </c>
      <c r="F15" s="79">
        <v>0.26300000000000001</v>
      </c>
      <c r="G15" s="79">
        <v>0.24399999999999999</v>
      </c>
      <c r="H15" s="79">
        <v>0.252</v>
      </c>
      <c r="I15" s="155">
        <f>AVERAGE(C15:H15)</f>
        <v>0.24666666666666667</v>
      </c>
      <c r="J15" s="79">
        <f>$I$15</f>
        <v>0.24666666666666667</v>
      </c>
      <c r="K15" s="79">
        <f>$I$15</f>
        <v>0.24666666666666667</v>
      </c>
      <c r="L15" s="79">
        <f>$I$15</f>
        <v>0.24666666666666667</v>
      </c>
      <c r="M15" s="79">
        <f>$I$15</f>
        <v>0.24666666666666667</v>
      </c>
      <c r="N15" s="79">
        <f>$I$15</f>
        <v>0.24666666666666667</v>
      </c>
      <c r="O15" s="71"/>
      <c r="P15" s="71"/>
      <c r="Q15" s="71"/>
      <c r="R15" s="71"/>
      <c r="S15" s="71"/>
      <c r="T15" s="71"/>
      <c r="U15" s="71"/>
      <c r="V15" s="71"/>
      <c r="W15" s="71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</row>
    <row r="16" spans="1:38" s="1" customFormat="1" ht="22" customHeight="1">
      <c r="A16" s="152"/>
      <c r="B16" s="54" t="s">
        <v>83</v>
      </c>
      <c r="C16" s="71">
        <f>C13*C15</f>
        <v>470.23499999999996</v>
      </c>
      <c r="D16" s="71">
        <f>D13*D15</f>
        <v>882.40200000000004</v>
      </c>
      <c r="E16" s="71">
        <f t="shared" ref="E16:N16" si="3">E13*E15</f>
        <v>1392.96</v>
      </c>
      <c r="F16" s="71">
        <f t="shared" si="3"/>
        <v>1634.5450000000001</v>
      </c>
      <c r="G16" s="71">
        <f t="shared" si="3"/>
        <v>1470.8319999999999</v>
      </c>
      <c r="H16" s="71">
        <f t="shared" si="3"/>
        <v>1544.0039999999999</v>
      </c>
      <c r="I16" s="71">
        <f t="shared" si="3"/>
        <v>1435.7603333333334</v>
      </c>
      <c r="J16" s="71">
        <f t="shared" si="3"/>
        <v>1392.6875233333333</v>
      </c>
      <c r="K16" s="71">
        <f t="shared" si="3"/>
        <v>1392.6875233333333</v>
      </c>
      <c r="L16" s="71">
        <f t="shared" si="3"/>
        <v>1403.1326797583333</v>
      </c>
      <c r="M16" s="71">
        <f t="shared" si="3"/>
        <v>1403.1326797583333</v>
      </c>
      <c r="N16" s="71">
        <f t="shared" si="3"/>
        <v>1403.1326797583333</v>
      </c>
      <c r="O16" s="71"/>
      <c r="P16" s="71"/>
      <c r="Q16" s="71"/>
      <c r="R16" s="71"/>
      <c r="S16" s="71"/>
      <c r="T16" s="71"/>
      <c r="U16" s="71"/>
      <c r="V16" s="71"/>
      <c r="W16" s="71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</row>
    <row r="17" spans="1:38" s="1" customFormat="1" ht="22" customHeight="1">
      <c r="A17" s="152"/>
      <c r="B17" s="54"/>
      <c r="C17" s="54"/>
      <c r="D17" s="54"/>
      <c r="E17" s="54"/>
      <c r="F17" s="54"/>
      <c r="G17" s="54"/>
      <c r="H17" s="54"/>
      <c r="I17" s="54"/>
      <c r="J17" s="54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</row>
    <row r="18" spans="1:38" s="1" customFormat="1" ht="22" customHeight="1">
      <c r="A18" s="152" t="s">
        <v>73</v>
      </c>
      <c r="B18" s="54" t="s">
        <v>84</v>
      </c>
      <c r="C18" s="71">
        <v>6904</v>
      </c>
      <c r="D18" s="71">
        <v>15089</v>
      </c>
      <c r="E18" s="71">
        <v>22812</v>
      </c>
      <c r="F18" s="71">
        <v>23920</v>
      </c>
      <c r="G18" s="71">
        <v>23840</v>
      </c>
      <c r="H18" s="71">
        <v>24565</v>
      </c>
      <c r="I18" s="71">
        <f t="shared" ref="I18:N18" si="4">H18*(1+I10)</f>
        <v>23336.75</v>
      </c>
      <c r="J18" s="71">
        <f t="shared" si="4"/>
        <v>22636.647499999999</v>
      </c>
      <c r="K18" s="71">
        <f t="shared" si="4"/>
        <v>22636.647499999999</v>
      </c>
      <c r="L18" s="71">
        <f t="shared" si="4"/>
        <v>22806.422356250001</v>
      </c>
      <c r="M18" s="71">
        <f t="shared" si="4"/>
        <v>22806.422356250001</v>
      </c>
      <c r="N18" s="71">
        <f t="shared" si="4"/>
        <v>22806.422356250001</v>
      </c>
      <c r="O18" s="71"/>
      <c r="P18" s="71"/>
      <c r="Q18" s="71"/>
      <c r="R18" s="71"/>
      <c r="S18" s="71"/>
      <c r="T18" s="71"/>
      <c r="U18" s="71"/>
      <c r="V18" s="71"/>
      <c r="W18" s="71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</row>
    <row r="19" spans="1:38" s="2" customFormat="1" ht="22" customHeight="1">
      <c r="A19" s="152"/>
      <c r="B19" s="54" t="s">
        <v>69</v>
      </c>
      <c r="C19" s="72">
        <f>(C18-12874)/12874</f>
        <v>-0.46372533789032155</v>
      </c>
      <c r="D19" s="72">
        <f>(D18-C18)/C18</f>
        <v>1.1855446118192352</v>
      </c>
      <c r="E19" s="72">
        <f t="shared" ref="E19:N19" si="5">(E18-D18)/D18</f>
        <v>0.51182980979521508</v>
      </c>
      <c r="F19" s="72">
        <f t="shared" si="5"/>
        <v>4.8570927581974399E-2</v>
      </c>
      <c r="G19" s="151">
        <f t="shared" si="5"/>
        <v>-3.3444816053511705E-3</v>
      </c>
      <c r="H19" s="72">
        <f t="shared" si="5"/>
        <v>3.0411073825503357E-2</v>
      </c>
      <c r="I19" s="151">
        <f t="shared" si="5"/>
        <v>-0.05</v>
      </c>
      <c r="J19" s="151">
        <f t="shared" si="5"/>
        <v>-3.0000000000000037E-2</v>
      </c>
      <c r="K19" s="151">
        <f t="shared" si="5"/>
        <v>0</v>
      </c>
      <c r="L19" s="151">
        <f t="shared" si="5"/>
        <v>7.5000000000000847E-3</v>
      </c>
      <c r="M19" s="151">
        <f t="shared" si="5"/>
        <v>0</v>
      </c>
      <c r="N19" s="151">
        <f t="shared" si="5"/>
        <v>0</v>
      </c>
      <c r="O19" s="71"/>
      <c r="P19" s="71"/>
      <c r="Q19" s="71"/>
      <c r="R19" s="71"/>
      <c r="S19" s="71"/>
      <c r="T19" s="71"/>
      <c r="U19" s="71"/>
      <c r="V19" s="71"/>
      <c r="W19" s="71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</row>
    <row r="20" spans="1:38" s="4" customFormat="1" ht="22" customHeight="1">
      <c r="A20" s="152"/>
      <c r="B20" s="54" t="s">
        <v>76</v>
      </c>
      <c r="C20" s="79">
        <v>9.4E-2</v>
      </c>
      <c r="D20" s="79">
        <v>9.4E-2</v>
      </c>
      <c r="E20" s="79">
        <v>9.2999999999999999E-2</v>
      </c>
      <c r="F20" s="79">
        <v>9.2999999999999999E-2</v>
      </c>
      <c r="G20" s="79">
        <v>9.4E-2</v>
      </c>
      <c r="H20" s="79">
        <v>9.4E-2</v>
      </c>
      <c r="I20" s="156">
        <f>AVERAGE(C20:H20)</f>
        <v>9.3666666666666662E-2</v>
      </c>
      <c r="J20" s="79">
        <f>$I$20</f>
        <v>9.3666666666666662E-2</v>
      </c>
      <c r="K20" s="79">
        <f>$I$20</f>
        <v>9.3666666666666662E-2</v>
      </c>
      <c r="L20" s="79">
        <f>$I$20</f>
        <v>9.3666666666666662E-2</v>
      </c>
      <c r="M20" s="79">
        <f>$I$20</f>
        <v>9.3666666666666662E-2</v>
      </c>
      <c r="N20" s="79">
        <f>$I$20</f>
        <v>9.3666666666666662E-2</v>
      </c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</row>
    <row r="21" spans="1:38" s="4" customFormat="1" ht="22" customHeight="1">
      <c r="A21" s="152"/>
      <c r="B21" s="54" t="s">
        <v>85</v>
      </c>
      <c r="C21" s="71">
        <f>C18*C20</f>
        <v>648.976</v>
      </c>
      <c r="D21" s="71">
        <f t="shared" ref="D21:N21" si="6">D18*D20</f>
        <v>1418.366</v>
      </c>
      <c r="E21" s="71">
        <f t="shared" si="6"/>
        <v>2121.5160000000001</v>
      </c>
      <c r="F21" s="71">
        <f t="shared" si="6"/>
        <v>2224.56</v>
      </c>
      <c r="G21" s="71">
        <f t="shared" si="6"/>
        <v>2240.96</v>
      </c>
      <c r="H21" s="71">
        <f t="shared" si="6"/>
        <v>2309.11</v>
      </c>
      <c r="I21" s="71">
        <f t="shared" si="6"/>
        <v>2185.875583333333</v>
      </c>
      <c r="J21" s="71">
        <f t="shared" si="6"/>
        <v>2120.2993158333334</v>
      </c>
      <c r="K21" s="71">
        <f t="shared" si="6"/>
        <v>2120.2993158333334</v>
      </c>
      <c r="L21" s="71">
        <f t="shared" si="6"/>
        <v>2136.2015607020835</v>
      </c>
      <c r="M21" s="71">
        <f t="shared" si="6"/>
        <v>2136.2015607020835</v>
      </c>
      <c r="N21" s="71">
        <f t="shared" si="6"/>
        <v>2136.2015607020835</v>
      </c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</row>
    <row r="22" spans="1:38" s="2" customFormat="1" ht="22" customHeight="1">
      <c r="A22" s="152"/>
      <c r="B22" s="54"/>
      <c r="C22" s="64"/>
      <c r="D22" s="64"/>
      <c r="E22" s="64"/>
      <c r="F22" s="64"/>
      <c r="G22" s="64"/>
      <c r="H22" s="64"/>
      <c r="I22" s="75"/>
      <c r="J22" s="75"/>
      <c r="K22" s="71"/>
      <c r="L22" s="71"/>
      <c r="M22" s="71"/>
      <c r="N22" s="71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</row>
    <row r="23" spans="1:38" s="2" customFormat="1" ht="22" customHeight="1">
      <c r="A23" s="152" t="s">
        <v>77</v>
      </c>
      <c r="B23" s="66" t="s">
        <v>86</v>
      </c>
      <c r="C23" s="66">
        <f>C13+C18</f>
        <v>8905</v>
      </c>
      <c r="D23" s="66">
        <f t="shared" ref="D23:N23" si="7">D13+D18</f>
        <v>18676</v>
      </c>
      <c r="E23" s="66">
        <f t="shared" si="7"/>
        <v>28616</v>
      </c>
      <c r="F23" s="66">
        <f>F13+F18</f>
        <v>30135</v>
      </c>
      <c r="G23" s="66">
        <f t="shared" si="7"/>
        <v>29868</v>
      </c>
      <c r="H23" s="66">
        <f t="shared" si="7"/>
        <v>30692</v>
      </c>
      <c r="I23" s="66">
        <f>I13+I18</f>
        <v>29157.4</v>
      </c>
      <c r="J23" s="66">
        <f>J13+J18</f>
        <v>28282.678</v>
      </c>
      <c r="K23" s="66">
        <f t="shared" si="7"/>
        <v>28282.678</v>
      </c>
      <c r="L23" s="66">
        <f t="shared" si="7"/>
        <v>28494.798085000002</v>
      </c>
      <c r="M23" s="66">
        <f t="shared" si="7"/>
        <v>28494.798085000002</v>
      </c>
      <c r="N23" s="66">
        <f t="shared" si="7"/>
        <v>28494.798085000002</v>
      </c>
      <c r="O23" s="71"/>
      <c r="P23" s="71"/>
      <c r="Q23" s="71"/>
      <c r="R23" s="71"/>
      <c r="S23" s="71"/>
      <c r="T23" s="71"/>
      <c r="U23" s="71"/>
      <c r="V23" s="71"/>
      <c r="W23" s="71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</row>
    <row r="24" spans="1:38" s="2" customFormat="1" ht="22" customHeight="1">
      <c r="A24" s="136"/>
      <c r="B24" s="54" t="s">
        <v>87</v>
      </c>
      <c r="C24" s="66">
        <f>C16+C21</f>
        <v>1119.211</v>
      </c>
      <c r="D24" s="66">
        <f t="shared" ref="D24:G24" si="8">D16+D21</f>
        <v>2300.768</v>
      </c>
      <c r="E24" s="66">
        <f t="shared" si="8"/>
        <v>3514.4760000000001</v>
      </c>
      <c r="F24" s="66">
        <f t="shared" si="8"/>
        <v>3859.105</v>
      </c>
      <c r="G24" s="66">
        <f t="shared" si="8"/>
        <v>3711.7919999999999</v>
      </c>
      <c r="H24" s="66">
        <f>H16+H21</f>
        <v>3853.114</v>
      </c>
      <c r="I24" s="66">
        <f>I16+I21</f>
        <v>3621.6359166666662</v>
      </c>
      <c r="J24" s="66">
        <f t="shared" ref="J24:N24" si="9">J16+J21</f>
        <v>3512.9868391666669</v>
      </c>
      <c r="K24" s="66">
        <f t="shared" si="9"/>
        <v>3512.9868391666669</v>
      </c>
      <c r="L24" s="66">
        <f t="shared" si="9"/>
        <v>3539.3342404604168</v>
      </c>
      <c r="M24" s="66">
        <f t="shared" si="9"/>
        <v>3539.3342404604168</v>
      </c>
      <c r="N24" s="66">
        <f t="shared" si="9"/>
        <v>3539.3342404604168</v>
      </c>
      <c r="O24" s="71"/>
      <c r="P24" s="71"/>
      <c r="Q24" s="71"/>
      <c r="R24" s="71"/>
      <c r="S24" s="71"/>
      <c r="T24" s="71"/>
      <c r="U24" s="71"/>
      <c r="V24" s="71"/>
      <c r="W24" s="71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</row>
    <row r="25" spans="1:38" s="2" customFormat="1" ht="22" customHeight="1">
      <c r="A25" s="153"/>
      <c r="B25" s="64" t="s">
        <v>107</v>
      </c>
      <c r="C25" s="71">
        <v>422.42099999999999</v>
      </c>
      <c r="D25" s="76">
        <v>752</v>
      </c>
      <c r="E25" s="76">
        <v>1410</v>
      </c>
      <c r="F25" s="76">
        <v>1731</v>
      </c>
      <c r="G25" s="76">
        <v>1752</v>
      </c>
      <c r="H25" s="76">
        <v>1839</v>
      </c>
      <c r="I25" s="71">
        <f>H25*(1+I26)</f>
        <v>1747.05</v>
      </c>
      <c r="J25" s="71">
        <f t="shared" ref="J25:N25" si="10">I25*(1+J26)</f>
        <v>1694.6385</v>
      </c>
      <c r="K25" s="71">
        <f t="shared" si="10"/>
        <v>1694.6385</v>
      </c>
      <c r="L25" s="71">
        <f t="shared" si="10"/>
        <v>1707.3482887500002</v>
      </c>
      <c r="M25" s="71">
        <f t="shared" si="10"/>
        <v>1707.3482887500002</v>
      </c>
      <c r="N25" s="71">
        <f t="shared" si="10"/>
        <v>1707.3482887500002</v>
      </c>
      <c r="O25" s="71"/>
      <c r="P25" s="71"/>
      <c r="Q25" s="71"/>
      <c r="R25" s="71"/>
      <c r="S25" s="71"/>
      <c r="T25" s="71"/>
      <c r="U25" s="71"/>
      <c r="V25" s="71"/>
      <c r="W25" s="71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</row>
    <row r="26" spans="1:38" s="5" customFormat="1" ht="22" customHeight="1">
      <c r="A26" s="153"/>
      <c r="B26" s="64" t="s">
        <v>92</v>
      </c>
      <c r="C26" s="79">
        <f>(C25-751)/751</f>
        <v>-0.43752197070572568</v>
      </c>
      <c r="D26" s="79">
        <f>(D25-C25)/C25</f>
        <v>0.78021452531952729</v>
      </c>
      <c r="E26" s="79">
        <f>(E25-D25)/D25</f>
        <v>0.875</v>
      </c>
      <c r="F26" s="79">
        <f>(F25-E25)/E25</f>
        <v>0.2276595744680851</v>
      </c>
      <c r="G26" s="79">
        <f>(G25-F25)/F25</f>
        <v>1.2131715771230503E-2</v>
      </c>
      <c r="H26" s="79">
        <f>(H25-G25)/G25</f>
        <v>4.965753424657534E-2</v>
      </c>
      <c r="I26" s="156">
        <f t="shared" ref="I26:N26" si="11">I10</f>
        <v>-0.05</v>
      </c>
      <c r="J26" s="79">
        <f t="shared" si="11"/>
        <v>-0.03</v>
      </c>
      <c r="K26" s="79">
        <f t="shared" si="11"/>
        <v>0</v>
      </c>
      <c r="L26" s="79">
        <f t="shared" si="11"/>
        <v>7.4999999999999997E-3</v>
      </c>
      <c r="M26" s="79">
        <f t="shared" si="11"/>
        <v>0</v>
      </c>
      <c r="N26" s="79">
        <f t="shared" si="11"/>
        <v>0</v>
      </c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</row>
    <row r="27" spans="1:38" s="1" customFormat="1" ht="22" customHeight="1">
      <c r="A27" s="64"/>
      <c r="B27" s="66" t="s">
        <v>78</v>
      </c>
      <c r="C27" s="64">
        <f>C25/C24</f>
        <v>0.3774274913309465</v>
      </c>
      <c r="D27" s="64">
        <f t="shared" ref="D27:G27" si="12">D25/D24</f>
        <v>0.32684738313467504</v>
      </c>
      <c r="E27" s="64">
        <f t="shared" si="12"/>
        <v>0.40119778880265505</v>
      </c>
      <c r="F27" s="64">
        <f t="shared" si="12"/>
        <v>0.4485495989355045</v>
      </c>
      <c r="G27" s="64">
        <f t="shared" si="12"/>
        <v>0.47200920741248431</v>
      </c>
      <c r="H27" s="64">
        <f>H25/H24</f>
        <v>0.47727630171336743</v>
      </c>
      <c r="I27" s="64">
        <f>I25/I24</f>
        <v>0.4823924989146825</v>
      </c>
      <c r="J27" s="64">
        <f>J25/J24</f>
        <v>0.48239249891468244</v>
      </c>
      <c r="K27" s="64">
        <f t="shared" ref="K27:N27" si="13">K25/K24</f>
        <v>0.48239249891468244</v>
      </c>
      <c r="L27" s="64">
        <f t="shared" si="13"/>
        <v>0.4823924989146825</v>
      </c>
      <c r="M27" s="64">
        <f t="shared" si="13"/>
        <v>0.4823924989146825</v>
      </c>
      <c r="N27" s="64">
        <f t="shared" si="13"/>
        <v>0.4823924989146825</v>
      </c>
      <c r="P27" s="54" t="s">
        <v>89</v>
      </c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</row>
    <row r="28" spans="1:38" s="4" customFormat="1" ht="22" customHeight="1">
      <c r="A28" s="136"/>
      <c r="B28" s="66" t="s">
        <v>88</v>
      </c>
      <c r="C28" s="71">
        <f>C24+31-C25</f>
        <v>727.79</v>
      </c>
      <c r="D28" s="71">
        <f>D24-D25</f>
        <v>1548.768</v>
      </c>
      <c r="E28" s="71">
        <f t="shared" ref="E28:N28" si="14">E24-E25</f>
        <v>2104.4760000000001</v>
      </c>
      <c r="F28" s="71">
        <f t="shared" si="14"/>
        <v>2128.105</v>
      </c>
      <c r="G28" s="71">
        <f t="shared" si="14"/>
        <v>1959.7919999999999</v>
      </c>
      <c r="H28" s="71">
        <f t="shared" si="14"/>
        <v>2014.114</v>
      </c>
      <c r="I28" s="71">
        <f>I24-I25</f>
        <v>1874.5859166666662</v>
      </c>
      <c r="J28" s="71">
        <f t="shared" si="14"/>
        <v>1818.3483391666668</v>
      </c>
      <c r="K28" s="71">
        <f t="shared" si="14"/>
        <v>1818.3483391666668</v>
      </c>
      <c r="L28" s="71">
        <f t="shared" si="14"/>
        <v>1831.9859517104167</v>
      </c>
      <c r="M28" s="71">
        <f t="shared" si="14"/>
        <v>1831.9859517104167</v>
      </c>
      <c r="N28" s="71">
        <f t="shared" si="14"/>
        <v>1831.9859517104167</v>
      </c>
      <c r="O28" s="65"/>
      <c r="P28" s="65"/>
      <c r="Q28" s="65"/>
      <c r="R28" s="65"/>
      <c r="S28" s="64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</row>
    <row r="29" spans="1:38" s="5" customFormat="1" ht="22" customHeight="1">
      <c r="A29" s="136"/>
      <c r="B29" s="64" t="s">
        <v>79</v>
      </c>
      <c r="C29" s="64">
        <f>(C28-1296)/1296</f>
        <v>-0.43843364197530865</v>
      </c>
      <c r="D29" s="64">
        <f>(D28-C28)/C28</f>
        <v>1.1280424298217895</v>
      </c>
      <c r="E29" s="64">
        <f t="shared" ref="E29:H29" si="15">(E28-D28)/D28</f>
        <v>0.3588064836050332</v>
      </c>
      <c r="F29" s="64">
        <f t="shared" si="15"/>
        <v>1.1227973139156685E-2</v>
      </c>
      <c r="G29" s="64">
        <f t="shared" si="15"/>
        <v>-7.9090552392856603E-2</v>
      </c>
      <c r="H29" s="64">
        <f t="shared" si="15"/>
        <v>2.7718247650771164E-2</v>
      </c>
      <c r="I29" s="64">
        <f>(I28-H28)/H28</f>
        <v>-6.9275166814457292E-2</v>
      </c>
      <c r="J29" s="64">
        <f t="shared" ref="J29:N29" si="16">(J28-I28)/I28</f>
        <v>-2.9999999999999666E-2</v>
      </c>
      <c r="K29" s="64">
        <f t="shared" si="16"/>
        <v>0</v>
      </c>
      <c r="L29" s="64">
        <f t="shared" si="16"/>
        <v>7.4999999999998948E-3</v>
      </c>
      <c r="M29" s="64">
        <f t="shared" si="16"/>
        <v>0</v>
      </c>
      <c r="N29" s="64">
        <f t="shared" si="16"/>
        <v>0</v>
      </c>
      <c r="O29" s="71"/>
      <c r="P29" s="71"/>
      <c r="Q29" s="71"/>
      <c r="R29" s="71"/>
      <c r="S29" s="64"/>
      <c r="T29" s="65"/>
      <c r="U29" s="65"/>
      <c r="V29" s="65"/>
      <c r="W29" s="65"/>
      <c r="X29" s="65"/>
      <c r="Y29" s="73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</row>
    <row r="30" spans="1:38" s="5" customFormat="1" ht="22" customHeight="1">
      <c r="A30" s="65"/>
      <c r="B30" s="65"/>
      <c r="C30" s="65"/>
      <c r="D30" s="65"/>
      <c r="E30" s="65"/>
      <c r="F30" s="65"/>
      <c r="G30" s="65"/>
      <c r="H30" s="65"/>
      <c r="I30" s="64"/>
      <c r="J30" s="65"/>
      <c r="K30" s="65"/>
      <c r="L30" s="65"/>
      <c r="M30" s="65"/>
      <c r="N30" s="65"/>
      <c r="O30" s="78"/>
      <c r="P30" s="78"/>
      <c r="Q30" s="78"/>
      <c r="R30" s="78"/>
      <c r="S30" s="64"/>
      <c r="T30" s="65"/>
      <c r="U30" s="65"/>
      <c r="V30" s="65"/>
      <c r="W30" s="65"/>
      <c r="X30" s="65"/>
      <c r="Y30" s="150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</row>
    <row r="31" spans="1:38" s="1" customFormat="1" ht="22" customHeight="1">
      <c r="A31" s="136" t="s">
        <v>81</v>
      </c>
      <c r="B31" s="54" t="s">
        <v>105</v>
      </c>
      <c r="C31" s="71">
        <f>C25</f>
        <v>422.42099999999999</v>
      </c>
      <c r="D31" s="71">
        <f t="shared" ref="D31:N31" si="17">D25</f>
        <v>752</v>
      </c>
      <c r="E31" s="71">
        <f t="shared" si="17"/>
        <v>1410</v>
      </c>
      <c r="F31" s="71">
        <f t="shared" si="17"/>
        <v>1731</v>
      </c>
      <c r="G31" s="71">
        <f t="shared" si="17"/>
        <v>1752</v>
      </c>
      <c r="H31" s="71">
        <f t="shared" si="17"/>
        <v>1839</v>
      </c>
      <c r="I31" s="71">
        <f t="shared" si="17"/>
        <v>1747.05</v>
      </c>
      <c r="J31" s="71">
        <f t="shared" si="17"/>
        <v>1694.6385</v>
      </c>
      <c r="K31" s="71">
        <f t="shared" si="17"/>
        <v>1694.6385</v>
      </c>
      <c r="L31" s="71">
        <f t="shared" si="17"/>
        <v>1707.3482887500002</v>
      </c>
      <c r="M31" s="71">
        <f t="shared" si="17"/>
        <v>1707.3482887500002</v>
      </c>
      <c r="N31" s="71">
        <f t="shared" si="17"/>
        <v>1707.3482887500002</v>
      </c>
      <c r="O31" s="78"/>
      <c r="P31" s="78" t="s">
        <v>108</v>
      </c>
      <c r="Q31" s="78"/>
      <c r="R31" s="78"/>
      <c r="S31" s="161"/>
      <c r="T31" s="54"/>
      <c r="U31" s="54"/>
      <c r="V31" s="54"/>
      <c r="W31" s="65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</row>
    <row r="32" spans="1:38" s="1" customFormat="1" ht="22" customHeight="1">
      <c r="B32" s="54" t="s">
        <v>129</v>
      </c>
      <c r="C32" s="72">
        <f>C54/C67</f>
        <v>0.25778233189343447</v>
      </c>
      <c r="D32" s="72">
        <f t="shared" ref="D32:N32" si="18">D54/D67</f>
        <v>0.27516370774492682</v>
      </c>
      <c r="E32" s="72">
        <f t="shared" si="18"/>
        <v>0.30261436396994912</v>
      </c>
      <c r="F32" s="72">
        <f t="shared" si="18"/>
        <v>0.3417459517788462</v>
      </c>
      <c r="G32" s="72">
        <f t="shared" si="18"/>
        <v>0.35634357529728328</v>
      </c>
      <c r="H32" s="72">
        <f t="shared" si="18"/>
        <v>0.33850277265160983</v>
      </c>
      <c r="I32" s="72">
        <f t="shared" si="18"/>
        <v>0.32380573715597882</v>
      </c>
      <c r="J32" s="72">
        <f t="shared" si="18"/>
        <v>0.3349068189988394</v>
      </c>
      <c r="K32" s="72">
        <f t="shared" si="18"/>
        <v>0.33933206294312429</v>
      </c>
      <c r="L32" s="72">
        <f t="shared" si="18"/>
        <v>0.34210186358624733</v>
      </c>
      <c r="M32" s="72">
        <f t="shared" si="18"/>
        <v>0.34657263795174637</v>
      </c>
      <c r="N32" s="72">
        <f t="shared" si="18"/>
        <v>0.35107066100891487</v>
      </c>
      <c r="O32" s="66"/>
      <c r="P32" s="66"/>
      <c r="Q32" s="66"/>
      <c r="R32" s="66"/>
      <c r="S32" s="66"/>
      <c r="T32" s="66"/>
      <c r="U32" s="66"/>
      <c r="V32" s="66"/>
      <c r="W32" s="66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</row>
    <row r="33" spans="1:38" s="1" customFormat="1" ht="22" customHeight="1">
      <c r="A33" s="54"/>
      <c r="B33" s="54" t="s">
        <v>127</v>
      </c>
      <c r="C33" s="71">
        <f>C31*C32</f>
        <v>108.89267042075647</v>
      </c>
      <c r="D33" s="71">
        <f t="shared" ref="D33:N33" si="19">D31*D32</f>
        <v>206.92310822418497</v>
      </c>
      <c r="E33" s="71">
        <f t="shared" si="19"/>
        <v>426.68625319762828</v>
      </c>
      <c r="F33" s="71">
        <f t="shared" si="19"/>
        <v>591.56224252918275</v>
      </c>
      <c r="G33" s="71">
        <f t="shared" si="19"/>
        <v>624.3139439208403</v>
      </c>
      <c r="H33" s="71">
        <f t="shared" si="19"/>
        <v>622.5065989063105</v>
      </c>
      <c r="I33" s="71">
        <f t="shared" si="19"/>
        <v>565.70481309835282</v>
      </c>
      <c r="J33" s="71">
        <f t="shared" si="19"/>
        <v>567.54598938796471</v>
      </c>
      <c r="K33" s="71">
        <f t="shared" si="19"/>
        <v>575.04517814784174</v>
      </c>
      <c r="L33" s="71">
        <f t="shared" si="19"/>
        <v>584.08703137216537</v>
      </c>
      <c r="M33" s="71">
        <f t="shared" si="19"/>
        <v>591.72020033448757</v>
      </c>
      <c r="N33" s="71">
        <f t="shared" si="19"/>
        <v>599.39989230390222</v>
      </c>
      <c r="O33" s="150"/>
      <c r="P33" s="78"/>
      <c r="Q33" s="78"/>
      <c r="R33" s="78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</row>
    <row r="34" spans="1:38" s="4" customFormat="1" ht="22" customHeight="1">
      <c r="A34" s="54"/>
      <c r="B34" s="54" t="s">
        <v>130</v>
      </c>
      <c r="C34" s="72">
        <f t="shared" ref="C34:N34" si="20">C59/C67</f>
        <v>0.22100564656382474</v>
      </c>
      <c r="D34" s="72">
        <f t="shared" si="20"/>
        <v>0.22075009020696887</v>
      </c>
      <c r="E34" s="72">
        <f t="shared" si="20"/>
        <v>0.26148226769091881</v>
      </c>
      <c r="F34" s="72">
        <f t="shared" si="20"/>
        <v>0.26108405866436685</v>
      </c>
      <c r="G34" s="72">
        <f t="shared" si="20"/>
        <v>0.26817158555073306</v>
      </c>
      <c r="H34" s="72">
        <f t="shared" si="20"/>
        <v>0.26887645357763557</v>
      </c>
      <c r="I34" s="72">
        <f t="shared" si="20"/>
        <v>0.2768853549853838</v>
      </c>
      <c r="J34" s="72">
        <f t="shared" si="20"/>
        <v>0.2723397278547211</v>
      </c>
      <c r="K34" s="72">
        <f t="shared" si="20"/>
        <v>0.27052769644934244</v>
      </c>
      <c r="L34" s="72">
        <f t="shared" si="20"/>
        <v>0.26939352942597217</v>
      </c>
      <c r="M34" s="72">
        <f t="shared" si="20"/>
        <v>0.26756285440361349</v>
      </c>
      <c r="N34" s="72">
        <f t="shared" si="20"/>
        <v>0.26572102169465456</v>
      </c>
      <c r="O34" s="88"/>
      <c r="P34" s="88"/>
      <c r="Q34" s="88"/>
      <c r="R34" s="88"/>
      <c r="S34" s="87"/>
      <c r="T34" s="88"/>
      <c r="U34" s="88"/>
      <c r="V34" s="88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</row>
    <row r="35" spans="1:38" s="1" customFormat="1" ht="22" customHeight="1">
      <c r="A35" s="4"/>
      <c r="B35" s="54" t="s">
        <v>128</v>
      </c>
      <c r="C35" s="66">
        <f>C31*C34</f>
        <v>93.35742622713741</v>
      </c>
      <c r="D35" s="66">
        <f t="shared" ref="D35:N35" si="21">D31*D34</f>
        <v>166.0040678356406</v>
      </c>
      <c r="E35" s="66">
        <f t="shared" si="21"/>
        <v>368.68999744419551</v>
      </c>
      <c r="F35" s="66">
        <f t="shared" si="21"/>
        <v>451.936505548019</v>
      </c>
      <c r="G35" s="66">
        <f t="shared" si="21"/>
        <v>469.83661788488433</v>
      </c>
      <c r="H35" s="66">
        <f t="shared" si="21"/>
        <v>494.46379812927182</v>
      </c>
      <c r="I35" s="66">
        <f t="shared" si="21"/>
        <v>483.73255942721477</v>
      </c>
      <c r="J35" s="66">
        <f t="shared" si="21"/>
        <v>461.51738790213278</v>
      </c>
      <c r="K35" s="66">
        <f t="shared" si="21"/>
        <v>458.44664971936902</v>
      </c>
      <c r="L35" s="66">
        <f t="shared" si="21"/>
        <v>459.94858146575638</v>
      </c>
      <c r="M35" s="66">
        <f t="shared" si="21"/>
        <v>456.82298159907492</v>
      </c>
      <c r="N35" s="66">
        <f t="shared" si="21"/>
        <v>453.6783316752701</v>
      </c>
      <c r="O35" s="162"/>
      <c r="P35" s="162"/>
      <c r="Q35" s="162"/>
      <c r="R35" s="162"/>
      <c r="S35" s="162"/>
      <c r="T35" s="162"/>
      <c r="U35" s="162"/>
      <c r="V35" s="162"/>
      <c r="W35" s="163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</row>
    <row r="36" spans="1:38" s="5" customFormat="1" ht="22" customHeight="1">
      <c r="A36" s="1"/>
      <c r="B36" s="54" t="s">
        <v>132</v>
      </c>
      <c r="C36" s="72">
        <f t="shared" ref="C36:N36" si="22">C64/C67</f>
        <v>0.17971372109117809</v>
      </c>
      <c r="D36" s="72">
        <f t="shared" si="22"/>
        <v>0.16724809790064932</v>
      </c>
      <c r="E36" s="72">
        <f t="shared" si="22"/>
        <v>0.17694658867743121</v>
      </c>
      <c r="F36" s="72">
        <f t="shared" si="22"/>
        <v>0.15443766510771198</v>
      </c>
      <c r="G36" s="72">
        <f t="shared" si="22"/>
        <v>0.15241160995434277</v>
      </c>
      <c r="H36" s="72">
        <f t="shared" si="22"/>
        <v>0.15299784039860148</v>
      </c>
      <c r="I36" s="72">
        <f t="shared" si="22"/>
        <v>0.15755511792531132</v>
      </c>
      <c r="J36" s="72">
        <f t="shared" si="22"/>
        <v>0.15496853540759792</v>
      </c>
      <c r="K36" s="72">
        <f t="shared" si="22"/>
        <v>0.15393744143090898</v>
      </c>
      <c r="L36" s="72">
        <f t="shared" si="22"/>
        <v>0.15329207028398237</v>
      </c>
      <c r="M36" s="72">
        <f t="shared" si="22"/>
        <v>0.15225036759426855</v>
      </c>
      <c r="N36" s="72">
        <f t="shared" si="22"/>
        <v>0.15120231588465738</v>
      </c>
      <c r="O36" s="78"/>
      <c r="P36" s="169"/>
      <c r="Q36" s="78"/>
      <c r="R36" s="78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</row>
    <row r="37" spans="1:38" s="5" customFormat="1" ht="22" customHeight="1">
      <c r="A37" s="66"/>
      <c r="B37" s="66" t="s">
        <v>131</v>
      </c>
      <c r="C37" s="71">
        <f>C31*C36</f>
        <v>75.914849777056531</v>
      </c>
      <c r="D37" s="71">
        <f t="shared" ref="D37:N37" si="23">D31*D36</f>
        <v>125.77056962128829</v>
      </c>
      <c r="E37" s="71">
        <f t="shared" si="23"/>
        <v>249.494690035178</v>
      </c>
      <c r="F37" s="71">
        <f t="shared" si="23"/>
        <v>267.33159830144945</v>
      </c>
      <c r="G37" s="71">
        <f t="shared" si="23"/>
        <v>267.02514064000854</v>
      </c>
      <c r="H37" s="71">
        <f t="shared" si="23"/>
        <v>281.36302849302814</v>
      </c>
      <c r="I37" s="71">
        <f t="shared" si="23"/>
        <v>275.25666877141515</v>
      </c>
      <c r="J37" s="71">
        <f t="shared" si="23"/>
        <v>262.61564639032861</v>
      </c>
      <c r="K37" s="71">
        <f t="shared" si="23"/>
        <v>260.86831484031347</v>
      </c>
      <c r="L37" s="71">
        <f t="shared" si="23"/>
        <v>261.72295387830206</v>
      </c>
      <c r="M37" s="71">
        <f t="shared" si="23"/>
        <v>259.94440457363288</v>
      </c>
      <c r="N37" s="71">
        <f t="shared" si="23"/>
        <v>258.15501528070672</v>
      </c>
      <c r="O37" s="78"/>
      <c r="P37" s="170"/>
      <c r="Q37" s="78"/>
      <c r="R37" s="78"/>
      <c r="S37" s="66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</row>
    <row r="38" spans="1:38" s="4" customFormat="1" ht="22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78"/>
      <c r="P38" s="78"/>
      <c r="Q38" s="78"/>
      <c r="R38" s="78"/>
      <c r="S38" s="54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</row>
    <row r="39" spans="1:38" s="4" customFormat="1" ht="22" customHeight="1">
      <c r="B39" s="64" t="s">
        <v>80</v>
      </c>
      <c r="C39" s="79">
        <f t="shared" ref="C39:N39" si="24">C24/C23</f>
        <v>0.12568343627175743</v>
      </c>
      <c r="D39" s="79">
        <f t="shared" si="24"/>
        <v>0.12319383165560077</v>
      </c>
      <c r="E39" s="79">
        <f t="shared" si="24"/>
        <v>0.12281506849315069</v>
      </c>
      <c r="F39" s="79">
        <f t="shared" si="24"/>
        <v>0.12806056080968972</v>
      </c>
      <c r="G39" s="79">
        <f t="shared" si="24"/>
        <v>0.12427320208919244</v>
      </c>
      <c r="H39" s="79">
        <f>H24/H23</f>
        <v>0.12554131369738042</v>
      </c>
      <c r="I39" s="79">
        <f t="shared" si="24"/>
        <v>0.12420983752552237</v>
      </c>
      <c r="J39" s="79">
        <f t="shared" si="24"/>
        <v>0.12420983752552241</v>
      </c>
      <c r="K39" s="79">
        <f t="shared" si="24"/>
        <v>0.12420983752552241</v>
      </c>
      <c r="L39" s="79">
        <f t="shared" si="24"/>
        <v>0.12420983752552239</v>
      </c>
      <c r="M39" s="79">
        <f t="shared" si="24"/>
        <v>0.12420983752552239</v>
      </c>
      <c r="N39" s="79">
        <f t="shared" si="24"/>
        <v>0.12420983752552239</v>
      </c>
      <c r="O39" s="71"/>
      <c r="P39" s="71"/>
      <c r="Q39" s="71"/>
      <c r="R39" s="71"/>
      <c r="S39" s="71"/>
      <c r="T39" s="71"/>
      <c r="U39" s="71"/>
      <c r="V39" s="71"/>
      <c r="W39" s="71"/>
      <c r="X39" s="66"/>
      <c r="Y39" s="65"/>
      <c r="Z39" s="66"/>
      <c r="AA39" s="66"/>
      <c r="AB39" s="66"/>
      <c r="AC39" s="66"/>
      <c r="AD39" s="66"/>
    </row>
    <row r="40" spans="1:38" s="5" customFormat="1" ht="22" customHeight="1">
      <c r="A40" s="64"/>
      <c r="B40" s="64" t="s">
        <v>74</v>
      </c>
      <c r="C40" s="79">
        <f t="shared" ref="C40:N40" si="25">C16/C24</f>
        <v>0.42014865829588877</v>
      </c>
      <c r="D40" s="79">
        <f t="shared" si="25"/>
        <v>0.38352497948511105</v>
      </c>
      <c r="E40" s="79">
        <f t="shared" si="25"/>
        <v>0.39634927084435917</v>
      </c>
      <c r="F40" s="79">
        <f t="shared" si="25"/>
        <v>0.42355546169383834</v>
      </c>
      <c r="G40" s="79">
        <f t="shared" si="25"/>
        <v>0.39625927314892645</v>
      </c>
      <c r="H40" s="79">
        <f t="shared" si="25"/>
        <v>0.40071588849953566</v>
      </c>
      <c r="I40" s="79">
        <f t="shared" si="25"/>
        <v>0.39643972126684651</v>
      </c>
      <c r="J40" s="79">
        <f t="shared" si="25"/>
        <v>0.3964397212668464</v>
      </c>
      <c r="K40" s="79">
        <f t="shared" si="25"/>
        <v>0.3964397212668464</v>
      </c>
      <c r="L40" s="79">
        <f t="shared" si="25"/>
        <v>0.39643972126684646</v>
      </c>
      <c r="M40" s="79">
        <f t="shared" si="25"/>
        <v>0.39643972126684646</v>
      </c>
      <c r="N40" s="79">
        <f t="shared" si="25"/>
        <v>0.39643972126684646</v>
      </c>
      <c r="O40" s="161"/>
      <c r="P40" s="161"/>
      <c r="Q40" s="161"/>
      <c r="R40" s="161"/>
      <c r="S40" s="161"/>
      <c r="T40" s="161"/>
      <c r="U40" s="161"/>
      <c r="V40" s="161"/>
      <c r="W40" s="161"/>
      <c r="X40" s="65"/>
      <c r="Y40" s="65"/>
      <c r="Z40" s="65"/>
      <c r="AA40" s="65"/>
      <c r="AB40" s="65"/>
      <c r="AC40" s="65"/>
      <c r="AD40" s="65"/>
    </row>
    <row r="41" spans="1:38" s="5" customFormat="1" ht="22" customHeight="1">
      <c r="A41" s="65"/>
      <c r="B41" s="65" t="s">
        <v>75</v>
      </c>
      <c r="C41" s="79">
        <f t="shared" ref="C41:N41" si="26">C21/C24</f>
        <v>0.57985134170411123</v>
      </c>
      <c r="D41" s="79">
        <f t="shared" si="26"/>
        <v>0.61647502051488889</v>
      </c>
      <c r="E41" s="79">
        <f t="shared" si="26"/>
        <v>0.60365072915564089</v>
      </c>
      <c r="F41" s="79">
        <f t="shared" si="26"/>
        <v>0.5764445383061616</v>
      </c>
      <c r="G41" s="79">
        <f t="shared" si="26"/>
        <v>0.60374072685107361</v>
      </c>
      <c r="H41" s="79">
        <f t="shared" si="26"/>
        <v>0.59928411150046434</v>
      </c>
      <c r="I41" s="79">
        <f t="shared" si="26"/>
        <v>0.60356027873315354</v>
      </c>
      <c r="J41" s="79">
        <f t="shared" si="26"/>
        <v>0.60356027873315354</v>
      </c>
      <c r="K41" s="79">
        <f t="shared" si="26"/>
        <v>0.60356027873315354</v>
      </c>
      <c r="L41" s="79">
        <f t="shared" si="26"/>
        <v>0.60356027873315354</v>
      </c>
      <c r="M41" s="79">
        <f t="shared" si="26"/>
        <v>0.60356027873315354</v>
      </c>
      <c r="N41" s="79">
        <f t="shared" si="26"/>
        <v>0.60356027873315354</v>
      </c>
      <c r="O41" s="86"/>
      <c r="P41" s="86"/>
      <c r="Q41" s="86"/>
      <c r="R41" s="86"/>
      <c r="S41" s="66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</row>
    <row r="42" spans="1:38" s="5" customFormat="1" ht="22" customHeight="1">
      <c r="A42" s="54"/>
      <c r="B42" s="54" t="s">
        <v>104</v>
      </c>
      <c r="C42" s="150">
        <f t="shared" ref="C42:N42" si="27">C28/C24</f>
        <v>0.6502705924084019</v>
      </c>
      <c r="D42" s="150">
        <f t="shared" si="27"/>
        <v>0.67315261686532502</v>
      </c>
      <c r="E42" s="150">
        <f t="shared" si="27"/>
        <v>0.59880221119734489</v>
      </c>
      <c r="F42" s="150">
        <f t="shared" si="27"/>
        <v>0.5514504010644955</v>
      </c>
      <c r="G42" s="150">
        <f t="shared" si="27"/>
        <v>0.52799079258751569</v>
      </c>
      <c r="H42" s="150">
        <f t="shared" si="27"/>
        <v>0.52272369828663257</v>
      </c>
      <c r="I42" s="150">
        <f t="shared" si="27"/>
        <v>0.5176075010853175</v>
      </c>
      <c r="J42" s="150">
        <f t="shared" si="27"/>
        <v>0.51760750108531761</v>
      </c>
      <c r="K42" s="150">
        <f t="shared" si="27"/>
        <v>0.51760750108531761</v>
      </c>
      <c r="L42" s="150">
        <f t="shared" si="27"/>
        <v>0.5176075010853175</v>
      </c>
      <c r="M42" s="150">
        <f t="shared" si="27"/>
        <v>0.5176075010853175</v>
      </c>
      <c r="N42" s="150">
        <f t="shared" si="27"/>
        <v>0.5176075010853175</v>
      </c>
      <c r="O42" s="86"/>
      <c r="P42" s="86"/>
      <c r="Q42" s="86"/>
      <c r="R42" s="86"/>
      <c r="S42" s="66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</row>
    <row r="43" spans="1:38" s="4" customFormat="1" ht="22" customHeight="1">
      <c r="A43" s="54"/>
      <c r="B43" s="54" t="s">
        <v>106</v>
      </c>
      <c r="C43" s="72">
        <f>1-C42</f>
        <v>0.3497294075915981</v>
      </c>
      <c r="D43" s="72">
        <f t="shared" ref="D43:N43" si="28">1-D42</f>
        <v>0.32684738313467498</v>
      </c>
      <c r="E43" s="72">
        <f t="shared" si="28"/>
        <v>0.40119778880265511</v>
      </c>
      <c r="F43" s="72">
        <f t="shared" si="28"/>
        <v>0.4485495989355045</v>
      </c>
      <c r="G43" s="72">
        <f t="shared" si="28"/>
        <v>0.47200920741248431</v>
      </c>
      <c r="H43" s="72">
        <f>1-H42</f>
        <v>0.47727630171336743</v>
      </c>
      <c r="I43" s="72">
        <f>1-I42</f>
        <v>0.4823924989146825</v>
      </c>
      <c r="J43" s="72">
        <f t="shared" si="28"/>
        <v>0.48239249891468239</v>
      </c>
      <c r="K43" s="72">
        <f t="shared" si="28"/>
        <v>0.48239249891468239</v>
      </c>
      <c r="L43" s="72">
        <f t="shared" si="28"/>
        <v>0.4823924989146825</v>
      </c>
      <c r="M43" s="72">
        <f t="shared" si="28"/>
        <v>0.4823924989146825</v>
      </c>
      <c r="N43" s="72">
        <f t="shared" si="28"/>
        <v>0.4823924989146825</v>
      </c>
      <c r="O43" s="86"/>
      <c r="P43" s="86"/>
      <c r="Q43" s="86"/>
      <c r="R43" s="86"/>
      <c r="S43" s="54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</row>
    <row r="44" spans="1:38" s="1" customFormat="1" ht="22" customHeight="1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86"/>
      <c r="P44" s="86"/>
      <c r="Q44" s="86"/>
      <c r="R44" s="86"/>
      <c r="S44" s="65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8" s="5" customFormat="1" ht="22" customHeight="1">
      <c r="A45" s="54" t="s">
        <v>95</v>
      </c>
      <c r="B45" s="164" t="s">
        <v>98</v>
      </c>
      <c r="C45" s="72">
        <v>0.55000000000000004</v>
      </c>
      <c r="D45" s="72">
        <v>0.74</v>
      </c>
      <c r="E45" s="72">
        <v>0.89</v>
      </c>
      <c r="F45" s="72">
        <v>0.93</v>
      </c>
      <c r="G45" s="72">
        <v>0.94</v>
      </c>
      <c r="H45" s="72">
        <v>0.92</v>
      </c>
      <c r="I45" s="156">
        <v>0.8</v>
      </c>
      <c r="J45" s="79">
        <f>$I$45</f>
        <v>0.8</v>
      </c>
      <c r="K45" s="79">
        <f>$I$45</f>
        <v>0.8</v>
      </c>
      <c r="L45" s="79">
        <f>$I$45</f>
        <v>0.8</v>
      </c>
      <c r="M45" s="79">
        <f>$I$45</f>
        <v>0.8</v>
      </c>
      <c r="N45" s="79">
        <f>$I$45</f>
        <v>0.8</v>
      </c>
      <c r="O45" s="85"/>
      <c r="P45" s="85"/>
      <c r="Q45" s="85"/>
      <c r="R45" s="85"/>
      <c r="S45" s="165"/>
      <c r="T45" s="85"/>
      <c r="U45" s="85"/>
      <c r="V45" s="85"/>
      <c r="W45" s="85"/>
      <c r="X45" s="65"/>
      <c r="Y45" s="65"/>
      <c r="Z45" s="65"/>
      <c r="AA45" s="65"/>
      <c r="AB45" s="65"/>
      <c r="AC45" s="65"/>
      <c r="AD45" s="65"/>
    </row>
    <row r="46" spans="1:38" s="6" customFormat="1" ht="22" customHeight="1">
      <c r="A46" s="54"/>
      <c r="B46" s="164" t="s">
        <v>99</v>
      </c>
      <c r="C46" s="164">
        <f>(C45-91%)/91%</f>
        <v>-0.39560439560439559</v>
      </c>
      <c r="D46" s="164">
        <f>(D45-C45)/C45</f>
        <v>0.34545454545454535</v>
      </c>
      <c r="E46" s="164">
        <f t="shared" ref="E46:H46" si="29">(E45-D45)/D45</f>
        <v>0.20270270270270274</v>
      </c>
      <c r="F46" s="164">
        <f t="shared" si="29"/>
        <v>4.4943820224719142E-2</v>
      </c>
      <c r="G46" s="164">
        <f t="shared" si="29"/>
        <v>1.0752688172042901E-2</v>
      </c>
      <c r="H46" s="164">
        <f t="shared" si="29"/>
        <v>-2.1276595744680753E-2</v>
      </c>
      <c r="I46" s="164">
        <f>(I45-H45)/H45</f>
        <v>-0.13043478260869565</v>
      </c>
      <c r="J46" s="164">
        <f t="shared" ref="J46:N46" si="30">(J45-I45)/I45</f>
        <v>0</v>
      </c>
      <c r="K46" s="164">
        <f t="shared" si="30"/>
        <v>0</v>
      </c>
      <c r="L46" s="164">
        <f t="shared" si="30"/>
        <v>0</v>
      </c>
      <c r="M46" s="164">
        <f t="shared" si="30"/>
        <v>0</v>
      </c>
      <c r="N46" s="164">
        <f t="shared" si="30"/>
        <v>0</v>
      </c>
      <c r="O46" s="62"/>
      <c r="P46" s="62"/>
      <c r="Q46" s="62"/>
      <c r="R46" s="62"/>
      <c r="S46" s="66"/>
      <c r="T46" s="86"/>
      <c r="U46" s="86"/>
      <c r="V46" s="67"/>
      <c r="W46" s="67"/>
      <c r="X46" s="67"/>
      <c r="Y46" s="67"/>
      <c r="Z46" s="67"/>
      <c r="AA46" s="67"/>
      <c r="AB46" s="67"/>
      <c r="AC46" s="67"/>
      <c r="AD46" s="67"/>
    </row>
    <row r="47" spans="1:38" s="6" customFormat="1" ht="22" customHeight="1">
      <c r="A47" s="54"/>
      <c r="B47" s="171" t="s">
        <v>102</v>
      </c>
      <c r="C47" s="172">
        <v>31098</v>
      </c>
      <c r="D47" s="172">
        <v>36595</v>
      </c>
      <c r="E47" s="172">
        <v>37293</v>
      </c>
      <c r="F47" s="172">
        <v>37243</v>
      </c>
      <c r="G47" s="172">
        <v>37243</v>
      </c>
      <c r="H47" s="172">
        <v>37000</v>
      </c>
      <c r="I47" s="173">
        <f>AVERAGE(F47:H47)</f>
        <v>37162</v>
      </c>
      <c r="J47" s="172">
        <f>$I$47</f>
        <v>37162</v>
      </c>
      <c r="K47" s="172">
        <f>$I$47</f>
        <v>37162</v>
      </c>
      <c r="L47" s="172">
        <f>$I$47</f>
        <v>37162</v>
      </c>
      <c r="M47" s="172">
        <f>$I$47</f>
        <v>37162</v>
      </c>
      <c r="N47" s="172">
        <f>$I$47</f>
        <v>37162</v>
      </c>
      <c r="O47" s="166"/>
      <c r="P47" s="166"/>
      <c r="Q47" s="166"/>
      <c r="R47" s="166"/>
      <c r="S47" s="166"/>
      <c r="T47" s="166"/>
      <c r="U47" s="166"/>
      <c r="V47" s="166"/>
      <c r="W47" s="166"/>
      <c r="X47" s="67"/>
      <c r="Y47" s="67"/>
      <c r="Z47" s="67"/>
      <c r="AA47" s="67"/>
      <c r="AB47" s="67"/>
      <c r="AC47" s="67"/>
      <c r="AD47" s="67"/>
    </row>
    <row r="48" spans="1:38" s="6" customFormat="1" ht="22" customHeight="1">
      <c r="A48" s="54"/>
      <c r="B48" s="164" t="s">
        <v>100</v>
      </c>
      <c r="C48" s="104">
        <v>161</v>
      </c>
      <c r="D48" s="71">
        <v>173</v>
      </c>
      <c r="E48" s="71">
        <v>229</v>
      </c>
      <c r="F48" s="71">
        <v>256</v>
      </c>
      <c r="G48" s="71">
        <v>260</v>
      </c>
      <c r="H48" s="71">
        <v>249</v>
      </c>
      <c r="I48" s="77">
        <f>H48*(1+I49)</f>
        <v>249</v>
      </c>
      <c r="J48" s="66">
        <f>I48*(1+J49)</f>
        <v>253.98000000000002</v>
      </c>
      <c r="K48" s="66">
        <f t="shared" ref="K48:N48" si="31">J48*(1+K49)</f>
        <v>259.05960000000005</v>
      </c>
      <c r="L48" s="66">
        <f t="shared" si="31"/>
        <v>264.24079200000006</v>
      </c>
      <c r="M48" s="66">
        <f t="shared" si="31"/>
        <v>269.52560784000008</v>
      </c>
      <c r="N48" s="66">
        <f t="shared" si="31"/>
        <v>274.91611999680009</v>
      </c>
      <c r="O48" s="85"/>
      <c r="P48" s="85"/>
      <c r="Q48" s="85"/>
      <c r="R48" s="85"/>
      <c r="S48" s="165"/>
      <c r="T48" s="85"/>
      <c r="U48" s="85"/>
      <c r="V48" s="85"/>
      <c r="W48" s="85"/>
      <c r="X48" s="67"/>
      <c r="Y48" s="67"/>
      <c r="Z48" s="67"/>
      <c r="AA48" s="67"/>
      <c r="AB48" s="67"/>
      <c r="AC48" s="67"/>
      <c r="AD48" s="67"/>
    </row>
    <row r="49" spans="1:30" s="6" customFormat="1" ht="22" customHeight="1">
      <c r="A49" s="54"/>
      <c r="B49" s="164" t="s">
        <v>96</v>
      </c>
      <c r="C49" s="72">
        <f>(C48-167)/167</f>
        <v>-3.5928143712574849E-2</v>
      </c>
      <c r="D49" s="164">
        <f>(D48-C48)/C48</f>
        <v>7.4534161490683232E-2</v>
      </c>
      <c r="E49" s="164">
        <f t="shared" ref="E49:H49" si="32">(E48-D48)/D48</f>
        <v>0.32369942196531792</v>
      </c>
      <c r="F49" s="164">
        <f t="shared" si="32"/>
        <v>0.11790393013100436</v>
      </c>
      <c r="G49" s="164">
        <f t="shared" si="32"/>
        <v>1.5625E-2</v>
      </c>
      <c r="H49" s="164">
        <f t="shared" si="32"/>
        <v>-4.230769230769231E-2</v>
      </c>
      <c r="I49" s="154">
        <f>0%</f>
        <v>0</v>
      </c>
      <c r="J49" s="154">
        <f>2%</f>
        <v>0.02</v>
      </c>
      <c r="K49" s="64">
        <f>$J$49</f>
        <v>0.02</v>
      </c>
      <c r="L49" s="64">
        <f>$J$49</f>
        <v>0.02</v>
      </c>
      <c r="M49" s="64">
        <f>$J$49</f>
        <v>0.02</v>
      </c>
      <c r="N49" s="64">
        <f>$J$49</f>
        <v>0.02</v>
      </c>
      <c r="O49" s="67"/>
      <c r="P49" s="67"/>
      <c r="Q49" s="67"/>
      <c r="R49" s="67"/>
      <c r="S49" s="65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</row>
    <row r="50" spans="1:30" s="6" customFormat="1" ht="22" customHeight="1">
      <c r="A50" s="54"/>
      <c r="B50" s="164" t="s">
        <v>97</v>
      </c>
      <c r="C50" s="168">
        <v>88</v>
      </c>
      <c r="D50" s="76">
        <v>128</v>
      </c>
      <c r="E50" s="76">
        <v>203</v>
      </c>
      <c r="F50" s="76">
        <v>237</v>
      </c>
      <c r="G50" s="76">
        <v>245</v>
      </c>
      <c r="H50" s="76">
        <v>229</v>
      </c>
      <c r="I50" s="71">
        <f>I48*I51</f>
        <v>231.3847155448718</v>
      </c>
      <c r="J50" s="71">
        <f t="shared" ref="J50:N50" si="33">J48*J51</f>
        <v>236.01240985576925</v>
      </c>
      <c r="K50" s="71">
        <f t="shared" si="33"/>
        <v>240.73265805288466</v>
      </c>
      <c r="L50" s="71">
        <f t="shared" si="33"/>
        <v>245.54731121394238</v>
      </c>
      <c r="M50" s="71">
        <f t="shared" si="33"/>
        <v>250.45825743822124</v>
      </c>
      <c r="N50" s="71">
        <f t="shared" si="33"/>
        <v>255.46742258698566</v>
      </c>
      <c r="O50" s="71"/>
      <c r="P50" s="71"/>
      <c r="Q50" s="71"/>
      <c r="R50" s="71"/>
      <c r="S50" s="71"/>
      <c r="T50" s="71"/>
      <c r="U50" s="71"/>
      <c r="V50" s="71"/>
      <c r="W50" s="71"/>
      <c r="X50" s="67"/>
      <c r="Y50" s="67"/>
      <c r="Z50" s="67"/>
      <c r="AA50" s="67"/>
      <c r="AB50" s="67"/>
      <c r="AC50" s="67"/>
      <c r="AD50" s="67"/>
    </row>
    <row r="51" spans="1:30" s="6" customFormat="1" ht="22" customHeight="1">
      <c r="A51" s="54"/>
      <c r="B51" s="65" t="s">
        <v>101</v>
      </c>
      <c r="C51" s="79">
        <f>C50/C48</f>
        <v>0.54658385093167705</v>
      </c>
      <c r="D51" s="79">
        <f t="shared" ref="D51:H51" si="34">D50/D48</f>
        <v>0.73988439306358378</v>
      </c>
      <c r="E51" s="79">
        <f t="shared" si="34"/>
        <v>0.88646288209606983</v>
      </c>
      <c r="F51" s="79">
        <f t="shared" si="34"/>
        <v>0.92578125</v>
      </c>
      <c r="G51" s="79">
        <f t="shared" si="34"/>
        <v>0.94230769230769229</v>
      </c>
      <c r="H51" s="79">
        <f t="shared" si="34"/>
        <v>0.91967871485943775</v>
      </c>
      <c r="I51" s="156">
        <f>AVERAGE(F51:H51)</f>
        <v>0.92925588572237672</v>
      </c>
      <c r="J51" s="79">
        <f>$I$51</f>
        <v>0.92925588572237672</v>
      </c>
      <c r="K51" s="79">
        <f>$I$51</f>
        <v>0.92925588572237672</v>
      </c>
      <c r="L51" s="79">
        <f>$I$51</f>
        <v>0.92925588572237672</v>
      </c>
      <c r="M51" s="79">
        <f>$I$51</f>
        <v>0.92925588572237672</v>
      </c>
      <c r="N51" s="79">
        <f>$I$51</f>
        <v>0.92925588572237672</v>
      </c>
      <c r="O51" s="67"/>
      <c r="P51" s="67"/>
      <c r="Q51" s="67"/>
      <c r="R51" s="67"/>
      <c r="S51" s="54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</row>
    <row r="52" spans="1:30" s="6" customFormat="1" ht="22" customHeight="1">
      <c r="A52" s="64"/>
      <c r="B52" s="67" t="s">
        <v>135</v>
      </c>
      <c r="C52" s="67">
        <f>C33</f>
        <v>108.89267042075647</v>
      </c>
      <c r="D52" s="67">
        <f t="shared" ref="D52:N52" si="35">D33</f>
        <v>206.92310822418497</v>
      </c>
      <c r="E52" s="67">
        <f t="shared" si="35"/>
        <v>426.68625319762828</v>
      </c>
      <c r="F52" s="67">
        <f t="shared" si="35"/>
        <v>591.56224252918275</v>
      </c>
      <c r="G52" s="67">
        <f t="shared" si="35"/>
        <v>624.3139439208403</v>
      </c>
      <c r="H52" s="67">
        <f>H33</f>
        <v>622.5065989063105</v>
      </c>
      <c r="I52" s="67">
        <f>I33</f>
        <v>565.70481309835282</v>
      </c>
      <c r="J52" s="67">
        <f t="shared" si="35"/>
        <v>567.54598938796471</v>
      </c>
      <c r="K52" s="67">
        <f t="shared" si="35"/>
        <v>575.04517814784174</v>
      </c>
      <c r="L52" s="67">
        <f t="shared" si="35"/>
        <v>584.08703137216537</v>
      </c>
      <c r="M52" s="67">
        <f t="shared" si="35"/>
        <v>591.72020033448757</v>
      </c>
      <c r="N52" s="67">
        <f t="shared" si="35"/>
        <v>599.39989230390222</v>
      </c>
      <c r="O52" s="88"/>
      <c r="P52" s="88"/>
      <c r="Q52" s="88"/>
      <c r="R52" s="88"/>
      <c r="S52" s="87"/>
      <c r="T52" s="88"/>
      <c r="U52" s="88"/>
      <c r="V52" s="88"/>
      <c r="W52" s="88"/>
      <c r="X52" s="67"/>
      <c r="Y52" s="67"/>
      <c r="Z52" s="67"/>
      <c r="AA52" s="67"/>
      <c r="AB52" s="67"/>
      <c r="AC52" s="67"/>
      <c r="AD52" s="67"/>
    </row>
    <row r="53" spans="1:30" s="6" customFormat="1" ht="22" customHeight="1">
      <c r="A53" s="63"/>
      <c r="B53" s="67" t="s">
        <v>134</v>
      </c>
      <c r="C53" s="71">
        <f>C54-C52</f>
        <v>440.4845975792436</v>
      </c>
      <c r="D53" s="71">
        <f t="shared" ref="D53:N53" si="36">D54-D52</f>
        <v>1058.2685077758151</v>
      </c>
      <c r="E53" s="71">
        <f t="shared" si="36"/>
        <v>2032.5838499523718</v>
      </c>
      <c r="F53" s="71">
        <f t="shared" si="36"/>
        <v>2404.6240724208174</v>
      </c>
      <c r="G53" s="71">
        <f t="shared" si="36"/>
        <v>2506.3140145791594</v>
      </c>
      <c r="H53" s="71">
        <f t="shared" si="36"/>
        <v>2222.7268010936896</v>
      </c>
      <c r="I53" s="71">
        <f>I54-I52</f>
        <v>1945.121076232577</v>
      </c>
      <c r="J53" s="71">
        <f>J54-J52</f>
        <v>1993.4964177295838</v>
      </c>
      <c r="K53" s="71">
        <f t="shared" si="36"/>
        <v>2037.2180771120579</v>
      </c>
      <c r="L53" s="71">
        <f t="shared" si="36"/>
        <v>2080.4214889929326</v>
      </c>
      <c r="M53" s="71">
        <f t="shared" si="36"/>
        <v>2126.0784904379125</v>
      </c>
      <c r="N53" s="71">
        <f t="shared" si="36"/>
        <v>2172.7547722839458</v>
      </c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</row>
    <row r="54" spans="1:30" s="6" customFormat="1" ht="22" customHeight="1">
      <c r="A54" s="67"/>
      <c r="B54" s="54" t="s">
        <v>133</v>
      </c>
      <c r="C54" s="66">
        <f t="shared" ref="C54:N54" si="37">((C50*C47*365)/1000000)*C45</f>
        <v>549.37726800000007</v>
      </c>
      <c r="D54" s="66">
        <f t="shared" si="37"/>
        <v>1265.1916160000001</v>
      </c>
      <c r="E54" s="66">
        <f t="shared" si="37"/>
        <v>2459.2701031500001</v>
      </c>
      <c r="F54" s="66">
        <f t="shared" si="37"/>
        <v>2996.18631495</v>
      </c>
      <c r="G54" s="66">
        <f t="shared" si="37"/>
        <v>3130.6279584999997</v>
      </c>
      <c r="H54" s="66">
        <f t="shared" si="37"/>
        <v>2845.2334000000001</v>
      </c>
      <c r="I54" s="66">
        <f t="shared" si="37"/>
        <v>2510.8258893309298</v>
      </c>
      <c r="J54" s="66">
        <f t="shared" si="37"/>
        <v>2561.0424071175485</v>
      </c>
      <c r="K54" s="66">
        <f t="shared" si="37"/>
        <v>2612.2632552598998</v>
      </c>
      <c r="L54" s="66">
        <f t="shared" si="37"/>
        <v>2664.5085203650979</v>
      </c>
      <c r="M54" s="66">
        <f t="shared" si="37"/>
        <v>2717.7986907724003</v>
      </c>
      <c r="N54" s="66">
        <f t="shared" si="37"/>
        <v>2772.1546645878479</v>
      </c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</row>
    <row r="55" spans="1:30" s="6" customFormat="1" ht="22" customHeight="1">
      <c r="B55" s="66" t="s">
        <v>142</v>
      </c>
      <c r="C55" s="79">
        <f>(C54-1863)/1863</f>
        <v>-0.70511150402576483</v>
      </c>
      <c r="D55" s="79">
        <f>(D53-C53)/C53</f>
        <v>1.4025096759153572</v>
      </c>
      <c r="E55" s="79">
        <f t="shared" ref="E55:N55" si="38">(E53-D53)/D53</f>
        <v>0.92066931503451377</v>
      </c>
      <c r="F55" s="79">
        <f t="shared" si="38"/>
        <v>0.18303806875035603</v>
      </c>
      <c r="G55" s="79">
        <f t="shared" si="38"/>
        <v>4.228933051309236E-2</v>
      </c>
      <c r="H55" s="79">
        <f t="shared" si="38"/>
        <v>-0.11314911532866627</v>
      </c>
      <c r="I55" s="79">
        <f t="shared" si="38"/>
        <v>-0.1248942176449742</v>
      </c>
      <c r="J55" s="79">
        <f t="shared" si="38"/>
        <v>2.4870092709448652E-2</v>
      </c>
      <c r="K55" s="79">
        <f t="shared" si="38"/>
        <v>2.1932148457166168E-2</v>
      </c>
      <c r="L55" s="79">
        <f t="shared" si="38"/>
        <v>2.1207062889467117E-2</v>
      </c>
      <c r="M55" s="79">
        <f t="shared" si="38"/>
        <v>2.1946034342820119E-2</v>
      </c>
      <c r="N55" s="79">
        <f t="shared" si="38"/>
        <v>2.1954166817434551E-2</v>
      </c>
      <c r="O55" s="89"/>
      <c r="P55" s="89"/>
      <c r="Q55" s="89"/>
      <c r="R55" s="89"/>
      <c r="S55" s="89"/>
      <c r="T55" s="89"/>
      <c r="U55" s="89"/>
      <c r="V55" s="89"/>
      <c r="W55" s="89"/>
      <c r="X55" s="67"/>
      <c r="Y55" s="67"/>
      <c r="Z55" s="67"/>
      <c r="AA55" s="67"/>
      <c r="AB55" s="67"/>
      <c r="AC55" s="67"/>
      <c r="AD55" s="67"/>
    </row>
    <row r="56" spans="1:30" s="6" customFormat="1" ht="22" customHeight="1">
      <c r="O56" s="67"/>
      <c r="P56" s="67"/>
      <c r="Q56" s="65"/>
      <c r="R56" s="65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</row>
    <row r="57" spans="1:30" s="6" customFormat="1" ht="22" customHeight="1">
      <c r="A57" s="64" t="s">
        <v>103</v>
      </c>
      <c r="B57" s="67" t="s">
        <v>138</v>
      </c>
      <c r="C57" s="67">
        <f>C35</f>
        <v>93.35742622713741</v>
      </c>
      <c r="D57" s="67">
        <f t="shared" ref="D57:N57" si="39">D35</f>
        <v>166.0040678356406</v>
      </c>
      <c r="E57" s="67">
        <f t="shared" si="39"/>
        <v>368.68999744419551</v>
      </c>
      <c r="F57" s="67">
        <f t="shared" si="39"/>
        <v>451.936505548019</v>
      </c>
      <c r="G57" s="67">
        <f t="shared" si="39"/>
        <v>469.83661788488433</v>
      </c>
      <c r="H57" s="67">
        <f t="shared" si="39"/>
        <v>494.46379812927182</v>
      </c>
      <c r="I57" s="67">
        <f t="shared" si="39"/>
        <v>483.73255942721477</v>
      </c>
      <c r="J57" s="67">
        <f t="shared" si="39"/>
        <v>461.51738790213278</v>
      </c>
      <c r="K57" s="67">
        <f t="shared" si="39"/>
        <v>458.44664971936902</v>
      </c>
      <c r="L57" s="67">
        <f t="shared" si="39"/>
        <v>459.94858146575638</v>
      </c>
      <c r="M57" s="67">
        <f t="shared" si="39"/>
        <v>456.82298159907492</v>
      </c>
      <c r="N57" s="67">
        <f t="shared" si="39"/>
        <v>453.6783316752701</v>
      </c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</row>
    <row r="58" spans="1:30" s="6" customFormat="1" ht="22" customHeight="1">
      <c r="A58" s="67"/>
      <c r="B58" s="67" t="s">
        <v>137</v>
      </c>
      <c r="C58" s="67">
        <f>C59-C57</f>
        <v>377.64257377286259</v>
      </c>
      <c r="D58" s="67">
        <f t="shared" ref="D58:N58" si="40">D59-D57</f>
        <v>848.99593216435937</v>
      </c>
      <c r="E58" s="67">
        <f t="shared" si="40"/>
        <v>1756.3100025558044</v>
      </c>
      <c r="F58" s="67">
        <f t="shared" si="40"/>
        <v>1837.0634944519811</v>
      </c>
      <c r="G58" s="67">
        <f t="shared" si="40"/>
        <v>1886.1633821151156</v>
      </c>
      <c r="H58" s="67">
        <f t="shared" si="40"/>
        <v>1765.5362018707283</v>
      </c>
      <c r="I58" s="67">
        <f t="shared" si="40"/>
        <v>1663.2674405727853</v>
      </c>
      <c r="J58" s="67">
        <f t="shared" si="40"/>
        <v>1621.0726120978675</v>
      </c>
      <c r="K58" s="67">
        <f t="shared" si="40"/>
        <v>1624.1433502806312</v>
      </c>
      <c r="L58" s="67">
        <f t="shared" si="40"/>
        <v>1638.260843534244</v>
      </c>
      <c r="M58" s="67">
        <f t="shared" si="40"/>
        <v>1641.3864434009256</v>
      </c>
      <c r="N58" s="67">
        <f t="shared" si="40"/>
        <v>1644.5310933247304</v>
      </c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</row>
    <row r="59" spans="1:30" s="6" customFormat="1" ht="22" customHeight="1">
      <c r="A59" s="67"/>
      <c r="B59" s="67" t="s">
        <v>136</v>
      </c>
      <c r="C59" s="71">
        <v>471</v>
      </c>
      <c r="D59" s="71">
        <v>1015</v>
      </c>
      <c r="E59" s="71">
        <v>2125</v>
      </c>
      <c r="F59" s="71">
        <v>2289</v>
      </c>
      <c r="G59" s="71">
        <v>2356</v>
      </c>
      <c r="H59" s="71">
        <v>2260</v>
      </c>
      <c r="I59" s="71">
        <f t="shared" ref="I59:N59" si="41">H59*(1+I10)</f>
        <v>2147</v>
      </c>
      <c r="J59" s="71">
        <f t="shared" si="41"/>
        <v>2082.59</v>
      </c>
      <c r="K59" s="71">
        <f t="shared" si="41"/>
        <v>2082.59</v>
      </c>
      <c r="L59" s="71">
        <f t="shared" si="41"/>
        <v>2098.2094250000005</v>
      </c>
      <c r="M59" s="71">
        <f t="shared" si="41"/>
        <v>2098.2094250000005</v>
      </c>
      <c r="N59" s="71">
        <f t="shared" si="41"/>
        <v>2098.2094250000005</v>
      </c>
    </row>
    <row r="60" spans="1:30" s="6" customFormat="1" ht="22" customHeight="1">
      <c r="A60" s="67"/>
      <c r="B60" s="64" t="s">
        <v>143</v>
      </c>
      <c r="C60" s="64">
        <f>(C59-1517)/1517</f>
        <v>-0.68951878707976266</v>
      </c>
      <c r="D60" s="64">
        <f>(D58-C58)/C58</f>
        <v>1.2481467692649442</v>
      </c>
      <c r="E60" s="64">
        <f t="shared" ref="E60:N60" si="42">(E58-D58)/D58</f>
        <v>1.0686907157239427</v>
      </c>
      <c r="F60" s="64">
        <f t="shared" si="42"/>
        <v>4.5979065073172266E-2</v>
      </c>
      <c r="G60" s="64">
        <f t="shared" si="42"/>
        <v>2.6727376495923241E-2</v>
      </c>
      <c r="H60" s="64">
        <f t="shared" si="42"/>
        <v>-6.3953728180809979E-2</v>
      </c>
      <c r="I60" s="64">
        <f t="shared" si="42"/>
        <v>-5.7925043502127557E-2</v>
      </c>
      <c r="J60" s="64">
        <f t="shared" si="42"/>
        <v>-2.536863732532817E-2</v>
      </c>
      <c r="K60" s="64">
        <f t="shared" si="42"/>
        <v>1.8942631933000513E-3</v>
      </c>
      <c r="L60" s="64">
        <f t="shared" si="42"/>
        <v>8.6922704520961593E-3</v>
      </c>
      <c r="M60" s="64">
        <f t="shared" si="42"/>
        <v>1.9078768066864531E-3</v>
      </c>
      <c r="N60" s="64">
        <f t="shared" si="42"/>
        <v>1.9158498210141792E-3</v>
      </c>
      <c r="O60" s="2"/>
      <c r="P60" s="2"/>
      <c r="Q60" s="2"/>
      <c r="R60" s="2"/>
      <c r="S60" s="2"/>
      <c r="T60" s="2"/>
      <c r="U60" s="2"/>
      <c r="V60" s="2"/>
      <c r="W60" s="35"/>
      <c r="X60" s="2"/>
    </row>
    <row r="61" spans="1:30" s="6" customFormat="1" ht="22" customHeight="1">
      <c r="A61" s="101" t="s">
        <v>110</v>
      </c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167"/>
      <c r="M61" s="167"/>
      <c r="N61" s="93"/>
      <c r="O61" s="2"/>
      <c r="P61" s="2"/>
      <c r="Q61" s="2"/>
      <c r="R61" s="2"/>
      <c r="S61" s="2"/>
      <c r="T61" s="2"/>
      <c r="U61" s="2"/>
      <c r="V61" s="2"/>
      <c r="W61" s="35"/>
      <c r="X61" s="2"/>
    </row>
    <row r="62" spans="1:30" s="6" customFormat="1" ht="22" customHeight="1">
      <c r="B62" s="67" t="s">
        <v>139</v>
      </c>
      <c r="C62" s="67">
        <f>C37</f>
        <v>75.914849777056531</v>
      </c>
      <c r="D62" s="67">
        <f t="shared" ref="D62:N62" si="43">D37</f>
        <v>125.77056962128829</v>
      </c>
      <c r="E62" s="67">
        <f t="shared" si="43"/>
        <v>249.494690035178</v>
      </c>
      <c r="F62" s="67">
        <f t="shared" si="43"/>
        <v>267.33159830144945</v>
      </c>
      <c r="G62" s="67">
        <f t="shared" si="43"/>
        <v>267.02514064000854</v>
      </c>
      <c r="H62" s="67">
        <f t="shared" si="43"/>
        <v>281.36302849302814</v>
      </c>
      <c r="I62" s="67">
        <f t="shared" si="43"/>
        <v>275.25666877141515</v>
      </c>
      <c r="J62" s="67">
        <f t="shared" si="43"/>
        <v>262.61564639032861</v>
      </c>
      <c r="K62" s="67">
        <f t="shared" si="43"/>
        <v>260.86831484031347</v>
      </c>
      <c r="L62" s="67">
        <f t="shared" si="43"/>
        <v>261.72295387830206</v>
      </c>
      <c r="M62" s="67">
        <f t="shared" si="43"/>
        <v>259.94440457363288</v>
      </c>
      <c r="N62" s="67">
        <f t="shared" si="43"/>
        <v>258.15501528070672</v>
      </c>
      <c r="O62" s="2"/>
      <c r="P62" s="2"/>
      <c r="Q62" s="2"/>
      <c r="R62" s="2"/>
      <c r="S62" s="2"/>
      <c r="T62" s="2"/>
      <c r="U62" s="2"/>
      <c r="V62" s="2"/>
      <c r="W62" s="35"/>
      <c r="X62" s="2"/>
    </row>
    <row r="63" spans="1:30" s="6" customFormat="1" ht="22" customHeight="1">
      <c r="B63" s="67" t="s">
        <v>140</v>
      </c>
      <c r="C63" s="67">
        <f>C64-C62</f>
        <v>307.08515022294347</v>
      </c>
      <c r="D63" s="67">
        <f t="shared" ref="D63:N63" si="44">D64-D62</f>
        <v>643.22943037871175</v>
      </c>
      <c r="E63" s="67">
        <f t="shared" si="44"/>
        <v>1188.5053099648221</v>
      </c>
      <c r="F63" s="67">
        <f t="shared" si="44"/>
        <v>1086.6684016985505</v>
      </c>
      <c r="G63" s="67">
        <f t="shared" si="44"/>
        <v>1071.9748593599916</v>
      </c>
      <c r="H63" s="67">
        <f t="shared" si="44"/>
        <v>1004.6369715069718</v>
      </c>
      <c r="I63" s="67">
        <f t="shared" si="44"/>
        <v>946.44333122858484</v>
      </c>
      <c r="J63" s="67">
        <f t="shared" si="44"/>
        <v>922.43335360967137</v>
      </c>
      <c r="K63" s="67">
        <f t="shared" si="44"/>
        <v>924.1806851596865</v>
      </c>
      <c r="L63" s="67">
        <f t="shared" si="44"/>
        <v>932.213913621698</v>
      </c>
      <c r="M63" s="67">
        <f t="shared" si="44"/>
        <v>933.99246292636712</v>
      </c>
      <c r="N63" s="67">
        <f t="shared" si="44"/>
        <v>935.78185221929334</v>
      </c>
      <c r="O63" s="2"/>
      <c r="P63" s="2"/>
      <c r="Q63" s="2"/>
      <c r="R63" s="2"/>
      <c r="S63" s="2"/>
      <c r="T63" s="2"/>
      <c r="U63" s="2"/>
      <c r="V63" s="2"/>
      <c r="W63" s="35"/>
      <c r="X63" s="2"/>
    </row>
    <row r="64" spans="1:30" s="6" customFormat="1" ht="22" customHeight="1">
      <c r="A64" s="54"/>
      <c r="B64" s="101" t="s">
        <v>110</v>
      </c>
      <c r="C64" s="71">
        <v>383</v>
      </c>
      <c r="D64" s="71">
        <v>769</v>
      </c>
      <c r="E64" s="71">
        <v>1438</v>
      </c>
      <c r="F64" s="71">
        <v>1354</v>
      </c>
      <c r="G64" s="71">
        <v>1339</v>
      </c>
      <c r="H64" s="71">
        <v>1286</v>
      </c>
      <c r="I64" s="71">
        <f t="shared" ref="I64:N64" si="45">H64*(1+I10)</f>
        <v>1221.7</v>
      </c>
      <c r="J64" s="71">
        <f t="shared" si="45"/>
        <v>1185.049</v>
      </c>
      <c r="K64" s="71">
        <f t="shared" si="45"/>
        <v>1185.049</v>
      </c>
      <c r="L64" s="71">
        <f t="shared" si="45"/>
        <v>1193.9368675000001</v>
      </c>
      <c r="M64" s="71">
        <f t="shared" si="45"/>
        <v>1193.9368675000001</v>
      </c>
      <c r="N64" s="71">
        <f t="shared" si="45"/>
        <v>1193.9368675000001</v>
      </c>
      <c r="O64" s="2"/>
      <c r="P64" s="2"/>
      <c r="Q64" s="2"/>
      <c r="R64" s="2"/>
      <c r="S64" s="2"/>
      <c r="T64" s="2"/>
      <c r="U64" s="2"/>
      <c r="V64" s="2"/>
      <c r="W64" s="35"/>
      <c r="X64" s="2"/>
    </row>
    <row r="65" spans="1:24" s="6" customFormat="1" ht="22" customHeight="1">
      <c r="A65" s="58"/>
      <c r="B65" s="101" t="s">
        <v>141</v>
      </c>
      <c r="C65" s="72">
        <f>(C64-1153)/1153</f>
        <v>-0.66782307025151777</v>
      </c>
      <c r="D65" s="72">
        <f>(D63-C63)/C63</f>
        <v>1.0946288998726508</v>
      </c>
      <c r="E65" s="72">
        <f t="shared" ref="E65:N65" si="46">(E63-D63)/D63</f>
        <v>0.84771599966293576</v>
      </c>
      <c r="F65" s="72">
        <f t="shared" si="46"/>
        <v>-8.5684857621112206E-2</v>
      </c>
      <c r="G65" s="72">
        <f t="shared" si="46"/>
        <v>-1.3521643139334625E-2</v>
      </c>
      <c r="H65" s="72">
        <f t="shared" si="46"/>
        <v>-6.2816667074844429E-2</v>
      </c>
      <c r="I65" s="72">
        <f t="shared" si="46"/>
        <v>-5.7925043502127495E-2</v>
      </c>
      <c r="J65" s="72">
        <f t="shared" si="46"/>
        <v>-2.5368637325328229E-2</v>
      </c>
      <c r="K65" s="72">
        <f t="shared" si="46"/>
        <v>1.8942631933000528E-3</v>
      </c>
      <c r="L65" s="72">
        <f t="shared" si="46"/>
        <v>8.6922704520961229E-3</v>
      </c>
      <c r="M65" s="72">
        <f t="shared" si="46"/>
        <v>1.9078768066863254E-3</v>
      </c>
      <c r="N65" s="72">
        <f t="shared" si="46"/>
        <v>1.915849821014333E-3</v>
      </c>
      <c r="O65" s="2"/>
      <c r="P65" s="2"/>
      <c r="Q65" s="2"/>
      <c r="R65" s="2"/>
      <c r="S65" s="2"/>
      <c r="T65" s="2"/>
      <c r="U65" s="2"/>
      <c r="V65" s="2"/>
      <c r="W65" s="35"/>
      <c r="X65" s="2"/>
    </row>
    <row r="66" spans="1:24" s="6" customFormat="1" ht="22" customHeight="1">
      <c r="A66" s="67"/>
      <c r="B66" s="54"/>
      <c r="C66" s="86"/>
      <c r="D66" s="86"/>
      <c r="E66" s="86"/>
      <c r="F66" s="86"/>
      <c r="G66" s="54"/>
      <c r="H66" s="54"/>
      <c r="I66" s="54"/>
      <c r="J66" s="54"/>
      <c r="K66" s="66"/>
      <c r="L66" s="65"/>
      <c r="M66" s="65"/>
      <c r="N66" s="65"/>
      <c r="O66" s="2"/>
      <c r="P66" s="2"/>
      <c r="Q66" s="2"/>
      <c r="R66" s="2"/>
      <c r="S66" s="2"/>
      <c r="T66" s="2"/>
      <c r="U66" s="2"/>
      <c r="V66" s="2"/>
      <c r="W66" s="35"/>
      <c r="X66" s="2"/>
    </row>
    <row r="67" spans="1:24" s="6" customFormat="1" ht="22" customHeight="1">
      <c r="A67" s="67"/>
      <c r="B67" s="54" t="s">
        <v>111</v>
      </c>
      <c r="C67" s="76">
        <f t="shared" ref="C67:N67" si="47">C28+C54+C59+C64</f>
        <v>2131.1672680000001</v>
      </c>
      <c r="D67" s="76">
        <f t="shared" si="47"/>
        <v>4597.9596160000001</v>
      </c>
      <c r="E67" s="76">
        <f t="shared" si="47"/>
        <v>8126.7461031500006</v>
      </c>
      <c r="F67" s="76">
        <f t="shared" si="47"/>
        <v>8767.29131495</v>
      </c>
      <c r="G67" s="76">
        <f t="shared" si="47"/>
        <v>8785.4199584999988</v>
      </c>
      <c r="H67" s="76">
        <f t="shared" si="47"/>
        <v>8405.3474000000006</v>
      </c>
      <c r="I67" s="76">
        <f t="shared" si="47"/>
        <v>7754.1118059975961</v>
      </c>
      <c r="J67" s="76">
        <f t="shared" si="47"/>
        <v>7647.0297462842154</v>
      </c>
      <c r="K67" s="76">
        <f t="shared" si="47"/>
        <v>7698.2505944265667</v>
      </c>
      <c r="L67" s="76">
        <f t="shared" si="47"/>
        <v>7788.6407645755153</v>
      </c>
      <c r="M67" s="76">
        <f t="shared" si="47"/>
        <v>7841.9309349828181</v>
      </c>
      <c r="N67" s="76">
        <f t="shared" si="47"/>
        <v>7896.2869087982654</v>
      </c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s="6" customFormat="1" ht="22" customHeight="1">
      <c r="A68" s="67"/>
      <c r="B68" s="62" t="s">
        <v>112</v>
      </c>
      <c r="C68" s="72">
        <f t="shared" ref="C68:N68" si="48">C67/C198</f>
        <v>0.44819111925318417</v>
      </c>
      <c r="D68" s="72">
        <f t="shared" si="48"/>
        <v>0.50448563955826131</v>
      </c>
      <c r="E68" s="72">
        <f t="shared" si="48"/>
        <v>0.65163850356395647</v>
      </c>
      <c r="F68" s="72">
        <f t="shared" si="48"/>
        <v>0.54715701815399442</v>
      </c>
      <c r="G68" s="72">
        <f t="shared" si="48"/>
        <v>0.51436469540504504</v>
      </c>
      <c r="H68" s="72">
        <f t="shared" si="48"/>
        <v>0.48603766058514997</v>
      </c>
      <c r="I68" s="72">
        <f t="shared" si="48"/>
        <v>0.48760926229343338</v>
      </c>
      <c r="J68" s="72">
        <f t="shared" si="48"/>
        <v>0.47673850597539674</v>
      </c>
      <c r="K68" s="72">
        <f t="shared" si="48"/>
        <v>0.48220242423646642</v>
      </c>
      <c r="L68" s="72">
        <f t="shared" si="48"/>
        <v>0.48881891342105688</v>
      </c>
      <c r="M68" s="72">
        <f t="shared" si="48"/>
        <v>0.49412521366817536</v>
      </c>
      <c r="N68" s="72">
        <f t="shared" si="48"/>
        <v>0.49935426935688831</v>
      </c>
      <c r="O68" s="35"/>
      <c r="P68" s="35"/>
      <c r="Q68" s="35"/>
      <c r="R68" s="35"/>
      <c r="S68" s="3"/>
      <c r="T68" s="35"/>
      <c r="U68" s="35"/>
      <c r="V68" s="35"/>
      <c r="W68" s="35"/>
      <c r="X68" s="2"/>
    </row>
    <row r="69" spans="1:24" s="6" customFormat="1" ht="22" customHeight="1">
      <c r="A69" s="67"/>
      <c r="B69" s="62" t="s">
        <v>113</v>
      </c>
      <c r="C69" s="64">
        <f t="shared" ref="C69:G69" si="49">C70/C67</f>
        <v>-0.29509380479227049</v>
      </c>
      <c r="D69" s="64">
        <f>D70/D67</f>
        <v>0.4657556200216933</v>
      </c>
      <c r="E69" s="64">
        <f t="shared" si="49"/>
        <v>-4.3020386787042952E-2</v>
      </c>
      <c r="F69" s="64">
        <f t="shared" si="49"/>
        <v>0.17182715390878336</v>
      </c>
      <c r="G69" s="64">
        <f t="shared" si="49"/>
        <v>0.17273974959642494</v>
      </c>
      <c r="H69" s="64">
        <f>H70/H67</f>
        <v>0.15056092772900642</v>
      </c>
      <c r="I69" s="154">
        <f>10%</f>
        <v>0.1</v>
      </c>
      <c r="J69" s="64">
        <v>0.11</v>
      </c>
      <c r="K69" s="64">
        <f>12%</f>
        <v>0.12</v>
      </c>
      <c r="L69" s="64">
        <f>K69</f>
        <v>0.12</v>
      </c>
      <c r="M69" s="64">
        <f t="shared" ref="M69:N69" si="50">L69</f>
        <v>0.12</v>
      </c>
      <c r="N69" s="64">
        <f t="shared" si="50"/>
        <v>0.12</v>
      </c>
      <c r="O69" s="35"/>
      <c r="P69" s="35"/>
      <c r="Q69" s="35"/>
      <c r="R69" s="35"/>
      <c r="S69" s="3"/>
      <c r="T69" s="35"/>
      <c r="U69" s="35"/>
      <c r="V69" s="35"/>
      <c r="W69" s="35"/>
      <c r="X69" s="2"/>
    </row>
    <row r="70" spans="1:24" s="6" customFormat="1" ht="22" customHeight="1">
      <c r="A70" s="70"/>
      <c r="B70" s="62" t="s">
        <v>114</v>
      </c>
      <c r="C70" s="74">
        <f>232.188-(1210.556*C68)-(710.683*C68)</f>
        <v>-628.89425776286839</v>
      </c>
      <c r="D70" s="74">
        <f>3142.308-(1150.61*D68)-(833.158*D68)</f>
        <v>2141.5255317847868</v>
      </c>
      <c r="E70" s="74">
        <f>3190.486-(3482.05*E68)-(1950.566*E68)</f>
        <v>-349.61576067760711</v>
      </c>
      <c r="F70" s="74">
        <f>3190.486-(814.128*F68)-(2263.649*F68)</f>
        <v>1506.4587141370534</v>
      </c>
      <c r="G70" s="74">
        <f>3106.543-(831.097*G68)-(2258.057*G68)</f>
        <v>1517.5912437307238</v>
      </c>
      <c r="H70" s="74">
        <f>2857.873-(1017.794*H68)-(2258.405*H68)</f>
        <v>1265.5169024285922</v>
      </c>
      <c r="I70" s="74">
        <f>I67*I69</f>
        <v>775.41118059975963</v>
      </c>
      <c r="J70" s="74">
        <f t="shared" ref="J70:N70" si="51">J67*J69</f>
        <v>841.1732720912637</v>
      </c>
      <c r="K70" s="74">
        <f t="shared" si="51"/>
        <v>923.79007133118796</v>
      </c>
      <c r="L70" s="74">
        <f t="shared" si="51"/>
        <v>934.63689174906176</v>
      </c>
      <c r="M70" s="74">
        <f t="shared" si="51"/>
        <v>941.03171219793819</v>
      </c>
      <c r="N70" s="74">
        <f t="shared" si="51"/>
        <v>947.55442905579184</v>
      </c>
      <c r="O70" s="35"/>
      <c r="P70" s="35"/>
      <c r="Q70" s="35"/>
      <c r="R70" s="35"/>
      <c r="S70" s="3"/>
      <c r="T70" s="35"/>
      <c r="U70" s="35"/>
      <c r="V70" s="35"/>
      <c r="W70" s="35"/>
      <c r="X70" s="2"/>
    </row>
    <row r="71" spans="1:24" s="4" customFormat="1" ht="22" customHeight="1">
      <c r="A71" s="70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s="5" customFormat="1" ht="22" customHeight="1">
      <c r="A72" s="70" t="s">
        <v>115</v>
      </c>
      <c r="B72" s="54" t="s">
        <v>116</v>
      </c>
      <c r="C72" s="157" t="s">
        <v>90</v>
      </c>
      <c r="D72" s="157" t="s">
        <v>90</v>
      </c>
      <c r="E72" s="157" t="s">
        <v>90</v>
      </c>
      <c r="F72" s="157" t="s">
        <v>90</v>
      </c>
      <c r="G72" s="157" t="s">
        <v>90</v>
      </c>
      <c r="H72" s="157" t="s">
        <v>90</v>
      </c>
      <c r="I72" s="155">
        <v>-1.4999999999999999E-2</v>
      </c>
      <c r="J72" s="155">
        <v>0.01</v>
      </c>
      <c r="K72" s="79">
        <f>0</f>
        <v>0</v>
      </c>
      <c r="L72" s="79">
        <f>0</f>
        <v>0</v>
      </c>
      <c r="M72" s="79">
        <f>0</f>
        <v>0</v>
      </c>
      <c r="N72" s="79">
        <f>0</f>
        <v>0</v>
      </c>
      <c r="O72" s="35"/>
      <c r="P72" s="35"/>
      <c r="Q72" s="35"/>
      <c r="R72" s="35"/>
      <c r="S72" s="2"/>
      <c r="T72" s="2"/>
      <c r="U72" s="2"/>
      <c r="V72" s="2"/>
      <c r="W72" s="2"/>
      <c r="X72" s="2"/>
    </row>
    <row r="73" spans="1:24" s="5" customFormat="1" ht="22" customHeight="1">
      <c r="A73" s="67"/>
      <c r="B73" s="64" t="s">
        <v>72</v>
      </c>
      <c r="C73" s="157" t="s">
        <v>90</v>
      </c>
      <c r="D73" s="157" t="s">
        <v>90</v>
      </c>
      <c r="E73" s="157" t="s">
        <v>90</v>
      </c>
      <c r="F73" s="157" t="s">
        <v>90</v>
      </c>
      <c r="G73" s="157" t="s">
        <v>90</v>
      </c>
      <c r="H73" s="157" t="s">
        <v>90</v>
      </c>
      <c r="I73" s="154">
        <v>-1.4999999999999999E-2</v>
      </c>
      <c r="J73" s="154">
        <v>0.01</v>
      </c>
      <c r="K73" s="79">
        <v>0</v>
      </c>
      <c r="L73" s="79">
        <v>0</v>
      </c>
      <c r="M73" s="79">
        <v>0</v>
      </c>
      <c r="N73" s="79">
        <v>0</v>
      </c>
      <c r="O73" s="35"/>
      <c r="P73" s="35"/>
      <c r="Q73" s="35"/>
      <c r="R73" s="35"/>
      <c r="S73" s="3"/>
      <c r="T73" s="35"/>
      <c r="U73" s="35"/>
      <c r="V73" s="35"/>
      <c r="W73" s="35"/>
      <c r="X73" s="2"/>
    </row>
    <row r="74" spans="1:24" s="5" customFormat="1" ht="22" customHeight="1">
      <c r="A74" s="67"/>
      <c r="B74" s="64" t="s">
        <v>93</v>
      </c>
      <c r="C74" s="157" t="s">
        <v>90</v>
      </c>
      <c r="D74" s="157" t="s">
        <v>90</v>
      </c>
      <c r="E74" s="157" t="s">
        <v>90</v>
      </c>
      <c r="F74" s="157" t="s">
        <v>90</v>
      </c>
      <c r="G74" s="157" t="s">
        <v>90</v>
      </c>
      <c r="H74" s="157" t="s">
        <v>90</v>
      </c>
      <c r="I74" s="64">
        <v>0</v>
      </c>
      <c r="J74" s="154">
        <v>0</v>
      </c>
      <c r="K74" s="64">
        <v>0</v>
      </c>
      <c r="L74" s="156">
        <v>0</v>
      </c>
      <c r="M74" s="64">
        <v>0</v>
      </c>
      <c r="N74" s="64">
        <v>0</v>
      </c>
      <c r="O74" s="35"/>
      <c r="P74" s="35"/>
      <c r="Q74" s="35"/>
      <c r="R74" s="35"/>
      <c r="S74" s="3"/>
      <c r="T74" s="35"/>
      <c r="U74" s="35"/>
      <c r="V74" s="35"/>
      <c r="W74" s="35"/>
      <c r="X74" s="2"/>
    </row>
    <row r="75" spans="1:24" s="5" customFormat="1" ht="22" customHeight="1">
      <c r="A75" s="66"/>
      <c r="B75" s="64" t="s">
        <v>91</v>
      </c>
      <c r="C75" s="157" t="s">
        <v>90</v>
      </c>
      <c r="D75" s="157" t="s">
        <v>90</v>
      </c>
      <c r="E75" s="157" t="s">
        <v>90</v>
      </c>
      <c r="F75" s="157" t="s">
        <v>90</v>
      </c>
      <c r="G75" s="157" t="s">
        <v>90</v>
      </c>
      <c r="H75" s="157" t="s">
        <v>90</v>
      </c>
      <c r="I75" s="158">
        <f>SUM(I72:I74)</f>
        <v>-0.03</v>
      </c>
      <c r="J75" s="158">
        <f>SUM(J72:J74)</f>
        <v>0.02</v>
      </c>
      <c r="K75" s="158">
        <f>SUM(K72:K74)</f>
        <v>0</v>
      </c>
      <c r="L75" s="158">
        <f t="shared" ref="L75:N75" si="52">SUM(L72:L74)</f>
        <v>0</v>
      </c>
      <c r="M75" s="158">
        <f t="shared" si="52"/>
        <v>0</v>
      </c>
      <c r="N75" s="158">
        <f t="shared" si="52"/>
        <v>0</v>
      </c>
      <c r="O75" s="35"/>
      <c r="P75" s="35"/>
      <c r="Q75" s="35"/>
      <c r="R75" s="35"/>
      <c r="S75" s="3"/>
      <c r="T75" s="35"/>
      <c r="U75" s="35"/>
      <c r="V75" s="35"/>
      <c r="W75" s="35"/>
      <c r="X75" s="2"/>
    </row>
    <row r="76" spans="1:24" s="5" customFormat="1" ht="22" customHeight="1">
      <c r="A76" s="65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35"/>
      <c r="P76" s="35"/>
      <c r="Q76" s="35"/>
      <c r="R76" s="35"/>
      <c r="S76" s="3"/>
      <c r="T76" s="35"/>
      <c r="U76" s="35"/>
      <c r="V76" s="35"/>
      <c r="W76" s="35"/>
      <c r="X76" s="2"/>
    </row>
    <row r="77" spans="1:24" s="5" customFormat="1" ht="22" customHeight="1">
      <c r="A77" s="54" t="s">
        <v>94</v>
      </c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35"/>
      <c r="P77" s="35"/>
      <c r="Q77" s="35"/>
      <c r="R77" s="35"/>
      <c r="S77" s="3"/>
      <c r="T77" s="35"/>
      <c r="U77" s="35"/>
      <c r="V77" s="35"/>
      <c r="W77" s="35"/>
      <c r="X77" s="2"/>
    </row>
    <row r="78" spans="1:24" s="4" customFormat="1" ht="22" customHeight="1">
      <c r="A78" s="152" t="s">
        <v>70</v>
      </c>
      <c r="B78" s="54" t="s">
        <v>82</v>
      </c>
      <c r="C78" s="71">
        <v>2422</v>
      </c>
      <c r="D78" s="71">
        <v>3980</v>
      </c>
      <c r="E78" s="71">
        <v>4469</v>
      </c>
      <c r="F78" s="71">
        <v>3886</v>
      </c>
      <c r="G78" s="71">
        <v>3909</v>
      </c>
      <c r="H78" s="71">
        <v>4001</v>
      </c>
      <c r="I78" s="83">
        <f>H78*(1+I75)</f>
        <v>3880.97</v>
      </c>
      <c r="J78" s="83">
        <f>I78*(1+J75)</f>
        <v>3958.5893999999998</v>
      </c>
      <c r="K78" s="83">
        <f>J78*(1+K75)</f>
        <v>3958.5893999999998</v>
      </c>
      <c r="L78" s="83">
        <f t="shared" ref="L78:N78" si="53">K78*(1+L75)</f>
        <v>3958.5893999999998</v>
      </c>
      <c r="M78" s="83">
        <f t="shared" si="53"/>
        <v>3958.5893999999998</v>
      </c>
      <c r="N78" s="83">
        <f t="shared" si="53"/>
        <v>3958.5893999999998</v>
      </c>
      <c r="O78" s="35"/>
      <c r="P78" s="35"/>
      <c r="Q78" s="35"/>
      <c r="R78" s="35"/>
      <c r="S78" s="3"/>
      <c r="T78" s="35"/>
      <c r="U78" s="35"/>
      <c r="V78" s="35"/>
      <c r="W78" s="35"/>
      <c r="X78" s="2"/>
    </row>
    <row r="79" spans="1:24" s="5" customFormat="1" ht="22" customHeight="1">
      <c r="A79" s="136"/>
      <c r="B79" s="64" t="s">
        <v>67</v>
      </c>
      <c r="C79" s="72">
        <f>(C78-4226)/4226</f>
        <v>-0.4268812115475627</v>
      </c>
      <c r="D79" s="72">
        <f>(D78-C78)/C78</f>
        <v>0.64327002477291495</v>
      </c>
      <c r="E79" s="72">
        <f t="shared" ref="E79:I79" si="54">(E78-D78)/D78</f>
        <v>0.1228643216080402</v>
      </c>
      <c r="F79" s="72">
        <f t="shared" si="54"/>
        <v>-0.13045424032221972</v>
      </c>
      <c r="G79" s="72">
        <f t="shared" si="54"/>
        <v>5.918682449819866E-3</v>
      </c>
      <c r="H79" s="72">
        <f t="shared" si="54"/>
        <v>2.3535431056536198E-2</v>
      </c>
      <c r="I79" s="151">
        <f t="shared" si="54"/>
        <v>-3.0000000000000051E-2</v>
      </c>
      <c r="J79" s="151">
        <f>(J78-I78)/I78</f>
        <v>2.0000000000000011E-2</v>
      </c>
      <c r="K79" s="151">
        <f>(K78-J78)/J78</f>
        <v>0</v>
      </c>
      <c r="L79" s="151">
        <f t="shared" ref="L79:N79" si="55">(L78-K78)/K78</f>
        <v>0</v>
      </c>
      <c r="M79" s="151">
        <f t="shared" si="55"/>
        <v>0</v>
      </c>
      <c r="N79" s="151">
        <f t="shared" si="55"/>
        <v>0</v>
      </c>
      <c r="O79" s="35"/>
      <c r="P79" s="35"/>
      <c r="Q79" s="35"/>
      <c r="R79" s="35"/>
      <c r="S79" s="3"/>
      <c r="T79" s="35"/>
      <c r="U79" s="35"/>
      <c r="V79" s="35"/>
      <c r="W79" s="35"/>
      <c r="X79" s="2"/>
    </row>
    <row r="80" spans="1:24" s="4" customFormat="1" ht="22" customHeight="1">
      <c r="A80" s="152"/>
      <c r="B80" s="54" t="s">
        <v>68</v>
      </c>
      <c r="C80" s="84">
        <v>0.20100000000000001</v>
      </c>
      <c r="D80" s="79">
        <v>0.19800000000000001</v>
      </c>
      <c r="E80" s="79">
        <v>0.20899999999999999</v>
      </c>
      <c r="F80" s="79">
        <v>0.21</v>
      </c>
      <c r="G80" s="79">
        <v>0.20599999999999999</v>
      </c>
      <c r="H80" s="79">
        <v>0.20399999999999999</v>
      </c>
      <c r="I80" s="155">
        <f>AVERAGE(C80:H80)</f>
        <v>0.20466666666666666</v>
      </c>
      <c r="J80" s="79">
        <f>$I$15</f>
        <v>0.24666666666666667</v>
      </c>
      <c r="K80" s="79">
        <f>$I$15</f>
        <v>0.24666666666666667</v>
      </c>
      <c r="L80" s="79">
        <f>$I$15</f>
        <v>0.24666666666666667</v>
      </c>
      <c r="M80" s="79">
        <f>$I$15</f>
        <v>0.24666666666666667</v>
      </c>
      <c r="N80" s="79">
        <f>$I$15</f>
        <v>0.24666666666666667</v>
      </c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s="4" customFormat="1" ht="22" customHeight="1">
      <c r="A81" s="152"/>
      <c r="B81" s="54" t="s">
        <v>83</v>
      </c>
      <c r="C81" s="71">
        <f>C78*C80</f>
        <v>486.822</v>
      </c>
      <c r="D81" s="71">
        <f>D78*D80</f>
        <v>788.04000000000008</v>
      </c>
      <c r="E81" s="71">
        <f>E78*E80-1</f>
        <v>933.02099999999996</v>
      </c>
      <c r="F81" s="71">
        <f>F78*F80-2</f>
        <v>814.06</v>
      </c>
      <c r="G81" s="71">
        <f>G78*G80+2</f>
        <v>807.25399999999991</v>
      </c>
      <c r="H81" s="71">
        <f>H78*H80+2</f>
        <v>818.20399999999995</v>
      </c>
      <c r="I81" s="71">
        <f t="shared" ref="I81:N81" si="56">I78*I80</f>
        <v>794.30519333333325</v>
      </c>
      <c r="J81" s="71">
        <f t="shared" si="56"/>
        <v>976.45205199999998</v>
      </c>
      <c r="K81" s="71">
        <f t="shared" si="56"/>
        <v>976.45205199999998</v>
      </c>
      <c r="L81" s="71">
        <f t="shared" si="56"/>
        <v>976.45205199999998</v>
      </c>
      <c r="M81" s="71">
        <f t="shared" si="56"/>
        <v>976.45205199999998</v>
      </c>
      <c r="N81" s="71">
        <f t="shared" si="56"/>
        <v>976.45205199999998</v>
      </c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s="12" customFormat="1" ht="22" customHeight="1">
      <c r="A82" s="152"/>
      <c r="B82" s="54"/>
      <c r="C82" s="54"/>
      <c r="D82" s="54"/>
      <c r="E82" s="54"/>
      <c r="F82" s="54"/>
      <c r="G82" s="54"/>
      <c r="H82" s="54"/>
      <c r="I82" s="54"/>
      <c r="J82" s="54"/>
      <c r="K82" s="71"/>
      <c r="L82" s="71"/>
      <c r="M82" s="71"/>
      <c r="N82" s="71"/>
      <c r="O82" s="6"/>
      <c r="P82" s="6"/>
      <c r="Q82" s="6"/>
      <c r="R82" s="6"/>
      <c r="S82" s="5"/>
      <c r="U82" s="35"/>
      <c r="V82" s="5"/>
    </row>
    <row r="83" spans="1:24" s="5" customFormat="1" ht="22" customHeight="1">
      <c r="A83" s="152" t="s">
        <v>73</v>
      </c>
      <c r="B83" s="54" t="s">
        <v>84</v>
      </c>
      <c r="C83" s="71">
        <v>14527</v>
      </c>
      <c r="D83" s="71">
        <v>25566</v>
      </c>
      <c r="E83" s="71">
        <v>26226</v>
      </c>
      <c r="F83" s="71">
        <v>26850</v>
      </c>
      <c r="G83" s="71">
        <v>26894</v>
      </c>
      <c r="H83" s="71">
        <v>27161</v>
      </c>
      <c r="I83" s="71">
        <f t="shared" ref="I83:N83" si="57">H83*(1+I75)</f>
        <v>26346.17</v>
      </c>
      <c r="J83" s="71">
        <f>I83*(1+J75)</f>
        <v>26873.093399999998</v>
      </c>
      <c r="K83" s="71">
        <f>J83*(1+K75)</f>
        <v>26873.093399999998</v>
      </c>
      <c r="L83" s="71">
        <f t="shared" si="57"/>
        <v>26873.093399999998</v>
      </c>
      <c r="M83" s="71">
        <f t="shared" si="57"/>
        <v>26873.093399999998</v>
      </c>
      <c r="N83" s="71">
        <f t="shared" si="57"/>
        <v>26873.093399999998</v>
      </c>
      <c r="O83" s="6"/>
      <c r="P83" s="6"/>
      <c r="Q83" s="6"/>
      <c r="R83" s="6"/>
      <c r="U83" s="35"/>
    </row>
    <row r="84" spans="1:24" s="5" customFormat="1" ht="22" customHeight="1">
      <c r="A84" s="152"/>
      <c r="B84" s="54" t="s">
        <v>69</v>
      </c>
      <c r="C84" s="72">
        <f>(C83-25031)/25031</f>
        <v>-0.41963964683792099</v>
      </c>
      <c r="D84" s="72">
        <f>(D83-C83)/C83</f>
        <v>0.75989536724719486</v>
      </c>
      <c r="E84" s="72">
        <f t="shared" ref="E84:I84" si="58">(E83-D83)/D83</f>
        <v>2.5815536259094111E-2</v>
      </c>
      <c r="F84" s="72">
        <f t="shared" si="58"/>
        <v>2.3793182338137726E-2</v>
      </c>
      <c r="G84" s="151">
        <f t="shared" si="58"/>
        <v>1.638733705772812E-3</v>
      </c>
      <c r="H84" s="72">
        <f t="shared" si="58"/>
        <v>9.9278649512902512E-3</v>
      </c>
      <c r="I84" s="151">
        <f t="shared" si="58"/>
        <v>-3.0000000000000065E-2</v>
      </c>
      <c r="J84" s="151">
        <f>(J83-I83)/I83</f>
        <v>1.999999999999999E-2</v>
      </c>
      <c r="K84" s="151">
        <f>(K83-J83)/J83</f>
        <v>0</v>
      </c>
      <c r="L84" s="151">
        <f t="shared" ref="L84:N84" si="59">(L83-K83)/K83</f>
        <v>0</v>
      </c>
      <c r="M84" s="151">
        <f t="shared" si="59"/>
        <v>0</v>
      </c>
      <c r="N84" s="151">
        <f t="shared" si="59"/>
        <v>0</v>
      </c>
      <c r="O84" s="6"/>
      <c r="P84" s="6"/>
      <c r="Q84" s="6"/>
      <c r="R84" s="6"/>
      <c r="U84" s="35"/>
    </row>
    <row r="85" spans="1:24" s="5" customFormat="1" ht="22" customHeight="1">
      <c r="A85" s="152"/>
      <c r="B85" s="54" t="s">
        <v>76</v>
      </c>
      <c r="C85" s="79">
        <v>9.7000000000000003E-2</v>
      </c>
      <c r="D85" s="79">
        <v>9.6000000000000002E-2</v>
      </c>
      <c r="E85" s="79">
        <v>9.5000000000000001E-2</v>
      </c>
      <c r="F85" s="79">
        <v>9.6000000000000002E-2</v>
      </c>
      <c r="G85" s="79">
        <v>9.9000000000000005E-2</v>
      </c>
      <c r="H85" s="79">
        <v>0.10100000000000001</v>
      </c>
      <c r="I85" s="156">
        <f>AVERAGE(C85:H85)</f>
        <v>9.7333333333333327E-2</v>
      </c>
      <c r="J85" s="79">
        <f>$I$20</f>
        <v>9.3666666666666662E-2</v>
      </c>
      <c r="K85" s="79">
        <f>$I$20</f>
        <v>9.3666666666666662E-2</v>
      </c>
      <c r="L85" s="79">
        <f>$I$20</f>
        <v>9.3666666666666662E-2</v>
      </c>
      <c r="M85" s="79">
        <f>$I$20</f>
        <v>9.3666666666666662E-2</v>
      </c>
      <c r="N85" s="79">
        <f>$I$20</f>
        <v>9.3666666666666662E-2</v>
      </c>
      <c r="O85" s="6"/>
      <c r="P85" s="35"/>
      <c r="Q85" s="35"/>
      <c r="R85" s="35"/>
      <c r="S85" s="4"/>
      <c r="U85" s="35"/>
    </row>
    <row r="86" spans="1:24" s="5" customFormat="1" ht="22" customHeight="1">
      <c r="A86" s="152"/>
      <c r="B86" s="54" t="s">
        <v>85</v>
      </c>
      <c r="C86" s="71">
        <f>C83*C85</f>
        <v>1409.1190000000001</v>
      </c>
      <c r="D86" s="71">
        <f t="shared" ref="D86:N86" si="60">D83*D85</f>
        <v>2454.3360000000002</v>
      </c>
      <c r="E86" s="71">
        <f t="shared" si="60"/>
        <v>2491.4700000000003</v>
      </c>
      <c r="F86" s="71">
        <f t="shared" si="60"/>
        <v>2577.6</v>
      </c>
      <c r="G86" s="71">
        <f t="shared" si="60"/>
        <v>2662.5060000000003</v>
      </c>
      <c r="H86" s="71">
        <f t="shared" si="60"/>
        <v>2743.261</v>
      </c>
      <c r="I86" s="71">
        <f t="shared" si="60"/>
        <v>2564.3605466666663</v>
      </c>
      <c r="J86" s="71">
        <f t="shared" si="60"/>
        <v>2517.1130817999997</v>
      </c>
      <c r="K86" s="71">
        <f t="shared" si="60"/>
        <v>2517.1130817999997</v>
      </c>
      <c r="L86" s="71">
        <f t="shared" si="60"/>
        <v>2517.1130817999997</v>
      </c>
      <c r="M86" s="71">
        <f t="shared" si="60"/>
        <v>2517.1130817999997</v>
      </c>
      <c r="N86" s="71">
        <f t="shared" si="60"/>
        <v>2517.1130817999997</v>
      </c>
      <c r="O86" s="6"/>
      <c r="P86" s="35"/>
      <c r="Q86" s="35"/>
      <c r="R86" s="35"/>
      <c r="U86" s="35"/>
    </row>
    <row r="87" spans="1:24" s="5" customFormat="1" ht="22" customHeight="1">
      <c r="A87" s="152"/>
      <c r="B87" s="54"/>
      <c r="C87" s="64"/>
      <c r="D87" s="64"/>
      <c r="E87" s="64"/>
      <c r="F87" s="64"/>
      <c r="G87" s="64"/>
      <c r="H87" s="64"/>
      <c r="I87" s="75"/>
      <c r="J87" s="75"/>
      <c r="K87" s="71"/>
      <c r="L87" s="71"/>
      <c r="M87" s="71"/>
      <c r="N87" s="71"/>
      <c r="O87" s="6"/>
      <c r="P87" s="6"/>
      <c r="Q87" s="6"/>
      <c r="R87" s="6"/>
      <c r="S87" s="4"/>
      <c r="U87" s="35"/>
      <c r="V87" s="4"/>
    </row>
    <row r="88" spans="1:24" s="5" customFormat="1" ht="22" customHeight="1">
      <c r="A88" s="152" t="s">
        <v>77</v>
      </c>
      <c r="B88" s="66" t="s">
        <v>86</v>
      </c>
      <c r="C88" s="66">
        <f>C78+C83</f>
        <v>16949</v>
      </c>
      <c r="D88" s="66">
        <f>D78+D83</f>
        <v>29546</v>
      </c>
      <c r="E88" s="66">
        <f t="shared" ref="E88" si="61">E78+E83</f>
        <v>30695</v>
      </c>
      <c r="F88" s="66">
        <f>F78+F83</f>
        <v>30736</v>
      </c>
      <c r="G88" s="66">
        <f t="shared" ref="G88:H88" si="62">G78+G83</f>
        <v>30803</v>
      </c>
      <c r="H88" s="66">
        <f t="shared" si="62"/>
        <v>31162</v>
      </c>
      <c r="I88" s="66">
        <f>I78+I83</f>
        <v>30227.14</v>
      </c>
      <c r="J88" s="66">
        <f>J78+J83</f>
        <v>30831.682799999999</v>
      </c>
      <c r="K88" s="66">
        <f t="shared" ref="K88:N88" si="63">K78+K83</f>
        <v>30831.682799999999</v>
      </c>
      <c r="L88" s="66">
        <f t="shared" si="63"/>
        <v>30831.682799999999</v>
      </c>
      <c r="M88" s="66">
        <f t="shared" si="63"/>
        <v>30831.682799999999</v>
      </c>
      <c r="N88" s="66">
        <f t="shared" si="63"/>
        <v>30831.682799999999</v>
      </c>
      <c r="O88" s="6"/>
      <c r="P88" s="6"/>
      <c r="Q88" s="6"/>
      <c r="R88" s="6"/>
      <c r="S88" s="4"/>
      <c r="U88" s="35"/>
    </row>
    <row r="89" spans="1:24" s="5" customFormat="1" ht="22" customHeight="1">
      <c r="A89" s="136"/>
      <c r="B89" s="54" t="s">
        <v>87</v>
      </c>
      <c r="C89" s="66">
        <f>C81+C86</f>
        <v>1895.9410000000003</v>
      </c>
      <c r="D89" s="66">
        <f t="shared" ref="D89:G89" si="64">D81+D86</f>
        <v>3242.3760000000002</v>
      </c>
      <c r="E89" s="66">
        <f t="shared" si="64"/>
        <v>3424.491</v>
      </c>
      <c r="F89" s="66">
        <f t="shared" si="64"/>
        <v>3391.66</v>
      </c>
      <c r="G89" s="66">
        <f t="shared" si="64"/>
        <v>3469.76</v>
      </c>
      <c r="H89" s="66">
        <f>H81+H86</f>
        <v>3561.4650000000001</v>
      </c>
      <c r="I89" s="66">
        <f>I81+I86</f>
        <v>3358.6657399999995</v>
      </c>
      <c r="J89" s="66">
        <f t="shared" ref="J89:N89" si="65">J81+J86</f>
        <v>3493.5651337999998</v>
      </c>
      <c r="K89" s="66">
        <f t="shared" si="65"/>
        <v>3493.5651337999998</v>
      </c>
      <c r="L89" s="66">
        <f t="shared" si="65"/>
        <v>3493.5651337999998</v>
      </c>
      <c r="M89" s="66">
        <f t="shared" si="65"/>
        <v>3493.5651337999998</v>
      </c>
      <c r="N89" s="66">
        <f t="shared" si="65"/>
        <v>3493.5651337999998</v>
      </c>
      <c r="O89" s="6"/>
      <c r="P89" s="35"/>
      <c r="Q89" s="35"/>
      <c r="R89" s="35"/>
      <c r="S89" s="12"/>
      <c r="U89" s="35"/>
      <c r="V89" s="4"/>
    </row>
    <row r="90" spans="1:24" s="5" customFormat="1" ht="22" customHeight="1">
      <c r="A90" s="153"/>
      <c r="B90" s="64" t="s">
        <v>107</v>
      </c>
      <c r="C90" s="71">
        <f>C89-C93+173</f>
        <v>499.74800000000027</v>
      </c>
      <c r="D90" s="76">
        <f>D89-D93</f>
        <v>520.86100000000033</v>
      </c>
      <c r="E90" s="76">
        <f>E89-E93</f>
        <v>523.41899999999987</v>
      </c>
      <c r="F90" s="76">
        <f>F89-F93</f>
        <v>679.45499999999993</v>
      </c>
      <c r="G90" s="76">
        <f>G89-G93</f>
        <v>731.98200000000043</v>
      </c>
      <c r="H90" s="76">
        <f>H89-H93</f>
        <v>788.73100000000022</v>
      </c>
      <c r="I90" s="71">
        <f>H90*(1+I91)</f>
        <v>765.06907000000024</v>
      </c>
      <c r="J90" s="71">
        <f>I90*(1+J91)</f>
        <v>780.37045140000021</v>
      </c>
      <c r="K90" s="71">
        <f>J90*(1+K91)</f>
        <v>780.37045140000021</v>
      </c>
      <c r="L90" s="71">
        <f t="shared" ref="L90:N90" si="66">K90*(1+L91)</f>
        <v>780.37045140000021</v>
      </c>
      <c r="M90" s="71">
        <f t="shared" si="66"/>
        <v>780.37045140000021</v>
      </c>
      <c r="N90" s="71">
        <f t="shared" si="66"/>
        <v>780.37045140000021</v>
      </c>
      <c r="O90" s="6"/>
      <c r="P90" s="35"/>
      <c r="Q90" s="35"/>
      <c r="R90" s="35"/>
      <c r="U90" s="35"/>
      <c r="V90" s="12"/>
    </row>
    <row r="91" spans="1:24" s="4" customFormat="1" ht="22" customHeight="1">
      <c r="A91" s="153"/>
      <c r="B91" s="64" t="s">
        <v>92</v>
      </c>
      <c r="C91" s="79">
        <f>(C90-751)/751</f>
        <v>-0.33455659121171732</v>
      </c>
      <c r="D91" s="79">
        <f>(D90-C90)/C90</f>
        <v>4.2247292635488376E-2</v>
      </c>
      <c r="E91" s="79">
        <f>(E90-D90)/D90</f>
        <v>4.9110991224137271E-3</v>
      </c>
      <c r="F91" s="79">
        <f>(F90-E90)/E90</f>
        <v>0.29810916302235896</v>
      </c>
      <c r="G91" s="79">
        <f>(G90-F90)/F90</f>
        <v>7.7307547961234374E-2</v>
      </c>
      <c r="H91" s="79">
        <f>(H90-G90)/G90</f>
        <v>7.7527862707006137E-2</v>
      </c>
      <c r="I91" s="156">
        <f>I75</f>
        <v>-0.03</v>
      </c>
      <c r="J91" s="79">
        <f t="shared" ref="J91:N91" si="67">J75</f>
        <v>0.02</v>
      </c>
      <c r="K91" s="79">
        <f t="shared" si="67"/>
        <v>0</v>
      </c>
      <c r="L91" s="79">
        <f t="shared" si="67"/>
        <v>0</v>
      </c>
      <c r="M91" s="79">
        <f t="shared" si="67"/>
        <v>0</v>
      </c>
      <c r="N91" s="79">
        <f t="shared" si="67"/>
        <v>0</v>
      </c>
      <c r="O91" s="6"/>
      <c r="P91" s="35"/>
      <c r="Q91" s="35"/>
      <c r="R91" s="35"/>
      <c r="S91" s="5"/>
      <c r="U91" s="6"/>
      <c r="V91" s="5"/>
    </row>
    <row r="92" spans="1:24" s="6" customFormat="1" ht="22" customHeight="1">
      <c r="A92" s="64"/>
      <c r="B92" s="66" t="s">
        <v>78</v>
      </c>
      <c r="C92" s="64">
        <f>C90/C89</f>
        <v>0.26358837115711947</v>
      </c>
      <c r="D92" s="64">
        <f t="shared" ref="D92:G92" si="68">D90/D89</f>
        <v>0.16064176394101126</v>
      </c>
      <c r="E92" s="64">
        <f t="shared" si="68"/>
        <v>0.15284578058461823</v>
      </c>
      <c r="F92" s="64">
        <f t="shared" si="68"/>
        <v>0.20033110630192882</v>
      </c>
      <c r="G92" s="64">
        <f t="shared" si="68"/>
        <v>0.21096041224753309</v>
      </c>
      <c r="H92" s="64">
        <f>H90/H89</f>
        <v>0.22146251612749254</v>
      </c>
      <c r="I92" s="64">
        <f>I90/I89</f>
        <v>0.22778958349097292</v>
      </c>
      <c r="J92" s="64">
        <f>J90/J89</f>
        <v>0.22337366601526057</v>
      </c>
      <c r="K92" s="64">
        <f t="shared" ref="K92:N92" si="69">K90/K89</f>
        <v>0.22337366601526057</v>
      </c>
      <c r="L92" s="64">
        <f t="shared" si="69"/>
        <v>0.22337366601526057</v>
      </c>
      <c r="M92" s="64">
        <f t="shared" si="69"/>
        <v>0.22337366601526057</v>
      </c>
      <c r="N92" s="64">
        <f t="shared" si="69"/>
        <v>0.22337366601526057</v>
      </c>
      <c r="P92" s="35"/>
      <c r="Q92" s="35"/>
      <c r="R92" s="35"/>
      <c r="S92" s="5"/>
      <c r="U92" s="4"/>
      <c r="V92" s="5"/>
    </row>
    <row r="93" spans="1:24" s="1" customFormat="1" ht="22" customHeight="1">
      <c r="A93" s="136"/>
      <c r="B93" s="66" t="s">
        <v>88</v>
      </c>
      <c r="C93" s="71">
        <v>1569.193</v>
      </c>
      <c r="D93" s="71">
        <v>2721.5149999999999</v>
      </c>
      <c r="E93" s="71">
        <v>2901.0720000000001</v>
      </c>
      <c r="F93" s="71">
        <v>2712.2049999999999</v>
      </c>
      <c r="G93" s="71">
        <v>2737.7779999999998</v>
      </c>
      <c r="H93" s="71">
        <v>2772.7339999999999</v>
      </c>
      <c r="I93" s="71">
        <f>I89-I90</f>
        <v>2593.596669999999</v>
      </c>
      <c r="J93" s="71">
        <f t="shared" ref="J93:N93" si="70">J89-J90</f>
        <v>2713.1946823999997</v>
      </c>
      <c r="K93" s="71">
        <f t="shared" si="70"/>
        <v>2713.1946823999997</v>
      </c>
      <c r="L93" s="71">
        <f t="shared" si="70"/>
        <v>2713.1946823999997</v>
      </c>
      <c r="M93" s="71">
        <f t="shared" si="70"/>
        <v>2713.1946823999997</v>
      </c>
      <c r="N93" s="71">
        <f t="shared" si="70"/>
        <v>2713.1946823999997</v>
      </c>
      <c r="O93" s="6"/>
      <c r="P93" s="35"/>
      <c r="Q93" s="35"/>
      <c r="R93" s="35"/>
      <c r="S93" s="5"/>
      <c r="U93" s="5"/>
      <c r="V93" s="5"/>
    </row>
    <row r="94" spans="1:24" s="1" customFormat="1" ht="22" customHeight="1">
      <c r="A94" s="136"/>
      <c r="B94" s="64" t="s">
        <v>79</v>
      </c>
      <c r="C94" s="64">
        <f>(C93-1296)/1296</f>
        <v>0.21079706790123456</v>
      </c>
      <c r="D94" s="64">
        <f>(D93-C93)/C93</f>
        <v>0.73434051770559761</v>
      </c>
      <c r="E94" s="64">
        <f t="shared" ref="E94:H94" si="71">(E93-D93)/D93</f>
        <v>6.5976854803298984E-2</v>
      </c>
      <c r="F94" s="64">
        <f t="shared" si="71"/>
        <v>-6.5102486253357447E-2</v>
      </c>
      <c r="G94" s="64">
        <f t="shared" si="71"/>
        <v>9.4288595441715754E-3</v>
      </c>
      <c r="H94" s="64">
        <f t="shared" si="71"/>
        <v>1.2768018444154396E-2</v>
      </c>
      <c r="I94" s="64">
        <f>(I93-H93)/H93</f>
        <v>-6.4606749150838458E-2</v>
      </c>
      <c r="J94" s="64">
        <f>(J93-I93)/I93</f>
        <v>4.6112803036564953E-2</v>
      </c>
      <c r="K94" s="64">
        <f>(K93-J93)/J93</f>
        <v>0</v>
      </c>
      <c r="L94" s="64">
        <f t="shared" ref="L94:N94" si="72">(L93-K93)/K93</f>
        <v>0</v>
      </c>
      <c r="M94" s="64">
        <f t="shared" si="72"/>
        <v>0</v>
      </c>
      <c r="N94" s="64">
        <f t="shared" si="72"/>
        <v>0</v>
      </c>
      <c r="O94" s="6"/>
      <c r="P94" s="35"/>
      <c r="Q94" s="35"/>
      <c r="R94" s="35"/>
      <c r="S94" s="5"/>
      <c r="U94" s="5"/>
      <c r="V94" s="5"/>
    </row>
    <row r="95" spans="1:24" s="1" customFormat="1" ht="22" customHeight="1">
      <c r="A95" s="65"/>
      <c r="B95" s="65"/>
      <c r="C95" s="65"/>
      <c r="D95" s="65"/>
      <c r="E95" s="65"/>
      <c r="F95" s="65"/>
      <c r="G95" s="65"/>
      <c r="H95" s="65"/>
      <c r="I95" s="64"/>
      <c r="J95" s="65"/>
      <c r="K95" s="65"/>
      <c r="L95" s="65"/>
      <c r="M95" s="65"/>
      <c r="N95" s="65"/>
      <c r="O95" s="6"/>
      <c r="P95" s="35"/>
      <c r="Q95" s="35"/>
      <c r="R95" s="35"/>
      <c r="S95" s="5"/>
      <c r="U95" s="5"/>
      <c r="V95" s="5"/>
    </row>
    <row r="96" spans="1:24" s="1" customFormat="1" ht="22" customHeight="1">
      <c r="A96" s="136" t="s">
        <v>81</v>
      </c>
      <c r="B96" s="54" t="s">
        <v>105</v>
      </c>
      <c r="C96" s="71">
        <f>C90</f>
        <v>499.74800000000027</v>
      </c>
      <c r="D96" s="71">
        <f t="shared" ref="D96:N96" si="73">D90</f>
        <v>520.86100000000033</v>
      </c>
      <c r="E96" s="71">
        <f>E90</f>
        <v>523.41899999999987</v>
      </c>
      <c r="F96" s="71">
        <f t="shared" si="73"/>
        <v>679.45499999999993</v>
      </c>
      <c r="G96" s="71">
        <f t="shared" si="73"/>
        <v>731.98200000000043</v>
      </c>
      <c r="H96" s="71">
        <f t="shared" si="73"/>
        <v>788.73100000000022</v>
      </c>
      <c r="I96" s="71">
        <f t="shared" si="73"/>
        <v>765.06907000000024</v>
      </c>
      <c r="J96" s="71">
        <f t="shared" si="73"/>
        <v>780.37045140000021</v>
      </c>
      <c r="K96" s="71">
        <f t="shared" si="73"/>
        <v>780.37045140000021</v>
      </c>
      <c r="L96" s="71">
        <f t="shared" si="73"/>
        <v>780.37045140000021</v>
      </c>
      <c r="M96" s="71">
        <f t="shared" si="73"/>
        <v>780.37045140000021</v>
      </c>
      <c r="N96" s="71">
        <f t="shared" si="73"/>
        <v>780.37045140000021</v>
      </c>
      <c r="O96" s="6"/>
      <c r="P96" s="35"/>
      <c r="Q96" s="35"/>
      <c r="R96" s="35"/>
      <c r="S96" s="5"/>
      <c r="U96" s="5"/>
      <c r="V96" s="5"/>
    </row>
    <row r="97" spans="1:22" s="1" customFormat="1" ht="22" customHeight="1">
      <c r="A97" s="54"/>
      <c r="B97" s="54" t="s">
        <v>145</v>
      </c>
      <c r="C97" s="72">
        <f t="shared" ref="C97:N97" si="74">C112/C125</f>
        <v>6.6565133381897151E-2</v>
      </c>
      <c r="D97" s="72">
        <f>D112/D125</f>
        <v>6.6805165919260806E-2</v>
      </c>
      <c r="E97" s="72">
        <f t="shared" si="74"/>
        <v>7.742303679469123E-2</v>
      </c>
      <c r="F97" s="72">
        <f t="shared" si="74"/>
        <v>8.0674406432809889E-2</v>
      </c>
      <c r="G97" s="72">
        <f t="shared" si="74"/>
        <v>8.1799908717578751E-2</v>
      </c>
      <c r="H97" s="72">
        <f t="shared" si="74"/>
        <v>8.1636218223576765E-2</v>
      </c>
      <c r="I97" s="72">
        <f t="shared" si="74"/>
        <v>8.3834638659991703E-2</v>
      </c>
      <c r="J97" s="72">
        <f t="shared" si="74"/>
        <v>8.2301011484034042E-2</v>
      </c>
      <c r="K97" s="72">
        <f t="shared" si="74"/>
        <v>8.2301011484034042E-2</v>
      </c>
      <c r="L97" s="72">
        <f t="shared" si="74"/>
        <v>8.2301011484034042E-2</v>
      </c>
      <c r="M97" s="72">
        <f t="shared" si="74"/>
        <v>8.2301011484034042E-2</v>
      </c>
      <c r="N97" s="72">
        <f t="shared" si="74"/>
        <v>8.2301011484034042E-2</v>
      </c>
      <c r="O97" s="6"/>
      <c r="P97" s="35"/>
      <c r="Q97" s="35"/>
      <c r="R97" s="35"/>
      <c r="S97" s="5"/>
      <c r="U97" s="5"/>
      <c r="V97" s="5"/>
    </row>
    <row r="98" spans="1:22" s="4" customFormat="1" ht="22" customHeight="1">
      <c r="A98" s="54"/>
      <c r="B98" s="54" t="s">
        <v>127</v>
      </c>
      <c r="C98" s="71">
        <f>C96*C97</f>
        <v>33.265792277336352</v>
      </c>
      <c r="D98" s="71">
        <f t="shared" ref="D98:N98" si="75">D96*D97</f>
        <v>34.796205525872125</v>
      </c>
      <c r="E98" s="71">
        <f t="shared" si="75"/>
        <v>40.524688496040476</v>
      </c>
      <c r="F98" s="71">
        <f t="shared" si="75"/>
        <v>54.814628822804835</v>
      </c>
      <c r="G98" s="71">
        <f t="shared" si="75"/>
        <v>59.876060782910763</v>
      </c>
      <c r="H98" s="71">
        <f t="shared" si="75"/>
        <v>64.389016035699939</v>
      </c>
      <c r="I98" s="71">
        <f t="shared" si="75"/>
        <v>64.139289033385921</v>
      </c>
      <c r="J98" s="71">
        <f t="shared" si="75"/>
        <v>64.225277482472251</v>
      </c>
      <c r="K98" s="71">
        <f t="shared" si="75"/>
        <v>64.225277482472251</v>
      </c>
      <c r="L98" s="71">
        <f t="shared" si="75"/>
        <v>64.225277482472251</v>
      </c>
      <c r="M98" s="71">
        <f t="shared" si="75"/>
        <v>64.225277482472251</v>
      </c>
      <c r="N98" s="71">
        <f t="shared" si="75"/>
        <v>64.225277482472251</v>
      </c>
      <c r="O98" s="6"/>
      <c r="P98" s="35"/>
      <c r="Q98" s="35"/>
      <c r="R98" s="35"/>
      <c r="S98" s="5"/>
      <c r="U98" s="5"/>
    </row>
    <row r="99" spans="1:22" s="4" customFormat="1" ht="22" customHeight="1">
      <c r="A99" s="54"/>
      <c r="B99" s="54" t="s">
        <v>146</v>
      </c>
      <c r="C99" s="72">
        <f t="shared" ref="C99:N99" si="76">C117/C125</f>
        <v>9.3613112434048698E-2</v>
      </c>
      <c r="D99" s="72">
        <f t="shared" si="76"/>
        <v>6.6807586177060618E-2</v>
      </c>
      <c r="E99" s="72">
        <f t="shared" si="76"/>
        <v>7.742303679469123E-2</v>
      </c>
      <c r="F99" s="72">
        <f t="shared" si="76"/>
        <v>0.11988145957193251</v>
      </c>
      <c r="G99" s="72">
        <f t="shared" si="76"/>
        <v>0.12260471002241205</v>
      </c>
      <c r="H99" s="72">
        <f t="shared" si="76"/>
        <v>0.12235107558107941</v>
      </c>
      <c r="I99" s="72">
        <f t="shared" si="76"/>
        <v>0.12564592572024361</v>
      </c>
      <c r="J99" s="72">
        <f t="shared" si="76"/>
        <v>0.12334742465537432</v>
      </c>
      <c r="K99" s="72">
        <f t="shared" si="76"/>
        <v>0.12334742465537432</v>
      </c>
      <c r="L99" s="72">
        <f t="shared" si="76"/>
        <v>0.12334742465537432</v>
      </c>
      <c r="M99" s="72">
        <f t="shared" si="76"/>
        <v>0.12334742465537432</v>
      </c>
      <c r="N99" s="72">
        <f t="shared" si="76"/>
        <v>0.12334742465537432</v>
      </c>
      <c r="O99" s="6"/>
      <c r="P99" s="35"/>
      <c r="Q99" s="35"/>
      <c r="R99" s="35"/>
      <c r="S99" s="5"/>
      <c r="U99" s="5"/>
    </row>
    <row r="100" spans="1:22" s="5" customFormat="1" ht="22" customHeight="1">
      <c r="A100" s="54"/>
      <c r="B100" s="54" t="s">
        <v>128</v>
      </c>
      <c r="C100" s="71">
        <f>C96*C99</f>
        <v>46.782965712690995</v>
      </c>
      <c r="D100" s="71">
        <f t="shared" ref="D100:N100" si="77">D96*D99</f>
        <v>34.797466143769995</v>
      </c>
      <c r="E100" s="71">
        <f t="shared" si="77"/>
        <v>40.524688496040476</v>
      </c>
      <c r="F100" s="71">
        <f t="shared" si="77"/>
        <v>81.454057113447391</v>
      </c>
      <c r="G100" s="71">
        <f t="shared" si="77"/>
        <v>89.744440851625271</v>
      </c>
      <c r="H100" s="71">
        <f t="shared" si="77"/>
        <v>96.502086194140375</v>
      </c>
      <c r="I100" s="71">
        <f t="shared" si="77"/>
        <v>96.127811540075882</v>
      </c>
      <c r="J100" s="71">
        <f t="shared" si="77"/>
        <v>96.256685457341973</v>
      </c>
      <c r="K100" s="71">
        <f t="shared" si="77"/>
        <v>96.256685457341973</v>
      </c>
      <c r="L100" s="71">
        <f t="shared" si="77"/>
        <v>96.256685457341973</v>
      </c>
      <c r="M100" s="71">
        <f t="shared" si="77"/>
        <v>96.256685457341973</v>
      </c>
      <c r="N100" s="71">
        <f t="shared" si="77"/>
        <v>96.256685457341973</v>
      </c>
      <c r="O100" s="6"/>
      <c r="P100" s="6"/>
      <c r="Q100" s="6"/>
      <c r="R100" s="6"/>
      <c r="S100" s="4"/>
      <c r="V100" s="6"/>
    </row>
    <row r="101" spans="1:22" s="5" customFormat="1" ht="22" customHeight="1">
      <c r="A101" s="54"/>
      <c r="B101" s="54" t="s">
        <v>154</v>
      </c>
      <c r="C101" s="79">
        <f t="shared" ref="C101:N101" si="78">C122/C125</f>
        <v>4.2131568633331826E-2</v>
      </c>
      <c r="D101" s="79">
        <f t="shared" si="78"/>
        <v>4.3041259647374493E-2</v>
      </c>
      <c r="E101" s="79">
        <f t="shared" si="78"/>
        <v>5.4867049314747569E-2</v>
      </c>
      <c r="F101" s="79">
        <f t="shared" si="78"/>
        <v>6.0485915491039044E-2</v>
      </c>
      <c r="G101" s="79">
        <f t="shared" si="78"/>
        <v>5.9697252012057021E-2</v>
      </c>
      <c r="H101" s="79">
        <f t="shared" si="78"/>
        <v>6.099435018064419E-2</v>
      </c>
      <c r="I101" s="79">
        <f t="shared" si="78"/>
        <v>6.2636895963151418E-2</v>
      </c>
      <c r="J101" s="79">
        <f t="shared" si="78"/>
        <v>6.1491049241531738E-2</v>
      </c>
      <c r="K101" s="79">
        <f t="shared" si="78"/>
        <v>6.1491049241531738E-2</v>
      </c>
      <c r="L101" s="79">
        <f t="shared" si="78"/>
        <v>6.1491049241531738E-2</v>
      </c>
      <c r="M101" s="79">
        <f t="shared" si="78"/>
        <v>6.1491049241531738E-2</v>
      </c>
      <c r="N101" s="79">
        <f t="shared" si="78"/>
        <v>6.1491049241531738E-2</v>
      </c>
      <c r="O101" s="6"/>
      <c r="P101" s="6"/>
      <c r="Q101" s="6"/>
      <c r="R101" s="6"/>
      <c r="S101" s="4"/>
      <c r="V101" s="6"/>
    </row>
    <row r="102" spans="1:22" s="5" customFormat="1" ht="22" customHeight="1">
      <c r="A102" s="66"/>
      <c r="B102" s="66" t="s">
        <v>144</v>
      </c>
      <c r="C102" s="71">
        <f>C96*C101</f>
        <v>21.055167161370324</v>
      </c>
      <c r="D102" s="71">
        <f t="shared" ref="D102:N102" si="79">D96*D101</f>
        <v>22.418513541191139</v>
      </c>
      <c r="E102" s="71">
        <f t="shared" si="79"/>
        <v>28.71845608527585</v>
      </c>
      <c r="F102" s="71">
        <f t="shared" si="79"/>
        <v>41.097457709963926</v>
      </c>
      <c r="G102" s="71">
        <f t="shared" si="79"/>
        <v>43.697313922289545</v>
      </c>
      <c r="H102" s="71">
        <f t="shared" si="79"/>
        <v>48.108134812329688</v>
      </c>
      <c r="I102" s="71">
        <f t="shared" si="79"/>
        <v>47.921551742215023</v>
      </c>
      <c r="J102" s="71">
        <f t="shared" si="79"/>
        <v>47.985797853673766</v>
      </c>
      <c r="K102" s="71">
        <f t="shared" si="79"/>
        <v>47.985797853673766</v>
      </c>
      <c r="L102" s="71">
        <f t="shared" si="79"/>
        <v>47.985797853673766</v>
      </c>
      <c r="M102" s="71">
        <f t="shared" si="79"/>
        <v>47.985797853673766</v>
      </c>
      <c r="N102" s="71">
        <f t="shared" si="79"/>
        <v>47.985797853673766</v>
      </c>
      <c r="O102" s="4"/>
      <c r="P102" s="4"/>
      <c r="Q102" s="4"/>
      <c r="R102" s="4"/>
      <c r="S102" s="6"/>
      <c r="U102" s="4"/>
      <c r="V102" s="1"/>
    </row>
    <row r="103" spans="1:22" s="5" customFormat="1" ht="22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S103" s="1"/>
      <c r="V103" s="1"/>
    </row>
    <row r="104" spans="1:22" s="4" customFormat="1" ht="22" customHeight="1">
      <c r="B104" s="64" t="s">
        <v>80</v>
      </c>
      <c r="C104" s="79">
        <f>C89/C88</f>
        <v>0.1118615257537318</v>
      </c>
      <c r="D104" s="79">
        <f t="shared" ref="D104:N104" si="80">D89/D88</f>
        <v>0.10973993095512083</v>
      </c>
      <c r="E104" s="79">
        <f t="shared" si="80"/>
        <v>0.11156510832383124</v>
      </c>
      <c r="F104" s="79">
        <f t="shared" si="80"/>
        <v>0.11034812597605413</v>
      </c>
      <c r="G104" s="79">
        <f t="shared" si="80"/>
        <v>0.11264357367788852</v>
      </c>
      <c r="H104" s="79">
        <f t="shared" si="80"/>
        <v>0.11428871702714845</v>
      </c>
      <c r="I104" s="79">
        <f t="shared" si="80"/>
        <v>0.11111424170464025</v>
      </c>
      <c r="J104" s="79">
        <f t="shared" si="80"/>
        <v>0.11331088077359176</v>
      </c>
      <c r="K104" s="79">
        <f t="shared" si="80"/>
        <v>0.11331088077359176</v>
      </c>
      <c r="L104" s="79">
        <f t="shared" si="80"/>
        <v>0.11331088077359176</v>
      </c>
      <c r="M104" s="79">
        <f t="shared" si="80"/>
        <v>0.11331088077359176</v>
      </c>
      <c r="N104" s="79">
        <f t="shared" si="80"/>
        <v>0.11331088077359176</v>
      </c>
      <c r="O104" s="5"/>
      <c r="P104" s="5"/>
      <c r="Q104" s="5"/>
      <c r="R104" s="5"/>
      <c r="S104" s="1"/>
      <c r="V104" s="1"/>
    </row>
    <row r="105" spans="1:22" s="5" customFormat="1" ht="22" customHeight="1">
      <c r="A105" s="64"/>
      <c r="B105" s="64" t="s">
        <v>74</v>
      </c>
      <c r="C105" s="79">
        <f>C81/C89</f>
        <v>0.25677064845372294</v>
      </c>
      <c r="D105" s="79">
        <f t="shared" ref="D105:N105" si="81">D81/D89</f>
        <v>0.2430439899629161</v>
      </c>
      <c r="E105" s="79">
        <f t="shared" si="81"/>
        <v>0.27245538096026534</v>
      </c>
      <c r="F105" s="79">
        <f t="shared" si="81"/>
        <v>0.24001816219786182</v>
      </c>
      <c r="G105" s="79">
        <f t="shared" si="81"/>
        <v>0.23265413169786955</v>
      </c>
      <c r="H105" s="79">
        <f t="shared" si="81"/>
        <v>0.22973804319289953</v>
      </c>
      <c r="I105" s="79">
        <f t="shared" si="81"/>
        <v>0.23649426731382128</v>
      </c>
      <c r="J105" s="79">
        <f t="shared" si="81"/>
        <v>0.27950017091506157</v>
      </c>
      <c r="K105" s="79">
        <f t="shared" si="81"/>
        <v>0.27950017091506157</v>
      </c>
      <c r="L105" s="79">
        <f t="shared" si="81"/>
        <v>0.27950017091506157</v>
      </c>
      <c r="M105" s="79">
        <f t="shared" si="81"/>
        <v>0.27950017091506157</v>
      </c>
      <c r="N105" s="79">
        <f t="shared" si="81"/>
        <v>0.27950017091506157</v>
      </c>
      <c r="S105" s="1"/>
      <c r="U105" s="12"/>
      <c r="V105" s="1"/>
    </row>
    <row r="106" spans="1:22" s="5" customFormat="1" ht="22" customHeight="1">
      <c r="A106" s="65"/>
      <c r="B106" s="65" t="s">
        <v>75</v>
      </c>
      <c r="C106" s="79">
        <f t="shared" ref="C106:N106" si="82">C86/C89</f>
        <v>0.74322935154627701</v>
      </c>
      <c r="D106" s="79">
        <f t="shared" si="82"/>
        <v>0.7569560100370839</v>
      </c>
      <c r="E106" s="79">
        <f t="shared" si="82"/>
        <v>0.72754461903973477</v>
      </c>
      <c r="F106" s="79">
        <f t="shared" si="82"/>
        <v>0.75998183780213824</v>
      </c>
      <c r="G106" s="79">
        <f t="shared" si="82"/>
        <v>0.76734586830213047</v>
      </c>
      <c r="H106" s="79">
        <f t="shared" si="82"/>
        <v>0.77026195680710041</v>
      </c>
      <c r="I106" s="79">
        <f t="shared" si="82"/>
        <v>0.76350573268617872</v>
      </c>
      <c r="J106" s="79">
        <f t="shared" si="82"/>
        <v>0.72049982908493837</v>
      </c>
      <c r="K106" s="79">
        <f t="shared" si="82"/>
        <v>0.72049982908493837</v>
      </c>
      <c r="L106" s="79">
        <f t="shared" si="82"/>
        <v>0.72049982908493837</v>
      </c>
      <c r="M106" s="79">
        <f t="shared" si="82"/>
        <v>0.72049982908493837</v>
      </c>
      <c r="N106" s="79">
        <f t="shared" si="82"/>
        <v>0.72049982908493837</v>
      </c>
      <c r="S106" s="1"/>
      <c r="V106" s="4"/>
    </row>
    <row r="107" spans="1:22" s="5" customFormat="1" ht="22" customHeight="1">
      <c r="A107" s="54"/>
      <c r="B107" s="54" t="s">
        <v>104</v>
      </c>
      <c r="C107" s="150">
        <f>C93/C89</f>
        <v>0.82765919403610122</v>
      </c>
      <c r="D107" s="150">
        <f t="shared" ref="D107:N107" si="83">D93/D89</f>
        <v>0.83935823605898874</v>
      </c>
      <c r="E107" s="150">
        <f t="shared" si="83"/>
        <v>0.84715421941538172</v>
      </c>
      <c r="F107" s="150">
        <f t="shared" si="83"/>
        <v>0.79966889369807115</v>
      </c>
      <c r="G107" s="150">
        <f t="shared" si="83"/>
        <v>0.78903958775246696</v>
      </c>
      <c r="H107" s="150">
        <f t="shared" si="83"/>
        <v>0.77853748387250743</v>
      </c>
      <c r="I107" s="150">
        <f t="shared" si="83"/>
        <v>0.772210416509027</v>
      </c>
      <c r="J107" s="150">
        <f t="shared" si="83"/>
        <v>0.77662633398473946</v>
      </c>
      <c r="K107" s="150">
        <f t="shared" si="83"/>
        <v>0.77662633398473946</v>
      </c>
      <c r="L107" s="150">
        <f t="shared" si="83"/>
        <v>0.77662633398473946</v>
      </c>
      <c r="M107" s="150">
        <f t="shared" si="83"/>
        <v>0.77662633398473946</v>
      </c>
      <c r="N107" s="150">
        <f t="shared" si="83"/>
        <v>0.77662633398473946</v>
      </c>
      <c r="S107" s="4"/>
    </row>
    <row r="108" spans="1:22" s="5" customFormat="1" ht="22" customHeight="1">
      <c r="A108" s="54"/>
      <c r="B108" s="54" t="s">
        <v>106</v>
      </c>
      <c r="C108" s="72">
        <f>1-C107</f>
        <v>0.17234080596389878</v>
      </c>
      <c r="D108" s="72">
        <f t="shared" ref="D108:N108" si="84">1-D107</f>
        <v>0.16064176394101126</v>
      </c>
      <c r="E108" s="72">
        <f t="shared" si="84"/>
        <v>0.15284578058461828</v>
      </c>
      <c r="F108" s="72">
        <f t="shared" si="84"/>
        <v>0.20033110630192885</v>
      </c>
      <c r="G108" s="72">
        <f t="shared" si="84"/>
        <v>0.21096041224753304</v>
      </c>
      <c r="H108" s="72">
        <f t="shared" si="84"/>
        <v>0.22146251612749257</v>
      </c>
      <c r="I108" s="72">
        <f t="shared" si="84"/>
        <v>0.227789583490973</v>
      </c>
      <c r="J108" s="72">
        <f t="shared" si="84"/>
        <v>0.22337366601526054</v>
      </c>
      <c r="K108" s="72">
        <f t="shared" si="84"/>
        <v>0.22337366601526054</v>
      </c>
      <c r="L108" s="72">
        <f t="shared" si="84"/>
        <v>0.22337366601526054</v>
      </c>
      <c r="M108" s="72">
        <f t="shared" si="84"/>
        <v>0.22337366601526054</v>
      </c>
      <c r="N108" s="72">
        <f t="shared" si="84"/>
        <v>0.22337366601526054</v>
      </c>
    </row>
    <row r="109" spans="1:22" s="5" customFormat="1" ht="22" customHeight="1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4"/>
      <c r="P109" s="4"/>
      <c r="Q109" s="4"/>
      <c r="R109" s="4"/>
    </row>
    <row r="110" spans="1:22" s="4" customFormat="1" ht="22" customHeight="1">
      <c r="A110" s="54" t="s">
        <v>95</v>
      </c>
      <c r="B110" s="164"/>
      <c r="C110" s="72"/>
      <c r="D110" s="72"/>
      <c r="E110" s="72"/>
      <c r="F110" s="72"/>
      <c r="G110" s="72"/>
      <c r="H110" s="72"/>
      <c r="I110" s="79"/>
      <c r="J110" s="79"/>
      <c r="K110" s="79"/>
      <c r="L110" s="79"/>
      <c r="M110" s="79"/>
      <c r="N110" s="79"/>
      <c r="O110" s="5"/>
      <c r="P110" s="5"/>
      <c r="Q110" s="5"/>
      <c r="R110" s="5"/>
      <c r="S110" s="5"/>
      <c r="U110" s="5"/>
      <c r="V110" s="5"/>
    </row>
    <row r="111" spans="1:22" s="1" customFormat="1" ht="22" customHeight="1">
      <c r="B111" s="54" t="s">
        <v>134</v>
      </c>
      <c r="C111" s="71">
        <f>C112-C98</f>
        <v>97.679207722663648</v>
      </c>
      <c r="D111" s="71">
        <f>D112-D98</f>
        <v>186.02379447412787</v>
      </c>
      <c r="E111" s="71">
        <f t="shared" ref="E111:N111" si="85">E112-E98</f>
        <v>243.68831150395954</v>
      </c>
      <c r="F111" s="71">
        <f t="shared" si="85"/>
        <v>241.2853711771952</v>
      </c>
      <c r="G111" s="71">
        <f t="shared" si="85"/>
        <v>244.44593921708923</v>
      </c>
      <c r="H111" s="71">
        <f t="shared" si="85"/>
        <v>243.56998396430006</v>
      </c>
      <c r="I111" s="71">
        <f t="shared" si="85"/>
        <v>234.58094096661409</v>
      </c>
      <c r="J111" s="71">
        <f t="shared" si="85"/>
        <v>240.46935711752778</v>
      </c>
      <c r="K111" s="71">
        <f t="shared" si="85"/>
        <v>240.46935711752778</v>
      </c>
      <c r="L111" s="71">
        <f t="shared" si="85"/>
        <v>240.46935711752778</v>
      </c>
      <c r="M111" s="71">
        <f t="shared" si="85"/>
        <v>240.46935711752778</v>
      </c>
      <c r="N111" s="71">
        <f t="shared" si="85"/>
        <v>240.46935711752778</v>
      </c>
      <c r="O111" s="4"/>
      <c r="P111" s="4"/>
      <c r="Q111" s="4"/>
      <c r="R111" s="4"/>
      <c r="S111" s="4"/>
      <c r="U111" s="5"/>
      <c r="V111" s="4"/>
    </row>
    <row r="112" spans="1:22" s="1" customFormat="1" ht="22" customHeight="1">
      <c r="A112" s="54"/>
      <c r="B112" s="54" t="s">
        <v>133</v>
      </c>
      <c r="C112" s="71">
        <v>130.94499999999999</v>
      </c>
      <c r="D112" s="71">
        <v>220.82</v>
      </c>
      <c r="E112" s="71">
        <v>284.21300000000002</v>
      </c>
      <c r="F112" s="71">
        <v>296.10000000000002</v>
      </c>
      <c r="G112" s="71">
        <v>304.322</v>
      </c>
      <c r="H112" s="71">
        <v>307.959</v>
      </c>
      <c r="I112" s="77">
        <f t="shared" ref="I112:N112" si="86">H112*(1+I75)</f>
        <v>298.72023000000002</v>
      </c>
      <c r="J112" s="77">
        <f t="shared" si="86"/>
        <v>304.69463460000003</v>
      </c>
      <c r="K112" s="77">
        <f t="shared" si="86"/>
        <v>304.69463460000003</v>
      </c>
      <c r="L112" s="77">
        <f t="shared" si="86"/>
        <v>304.69463460000003</v>
      </c>
      <c r="M112" s="77">
        <f t="shared" si="86"/>
        <v>304.69463460000003</v>
      </c>
      <c r="N112" s="77">
        <f t="shared" si="86"/>
        <v>304.69463460000003</v>
      </c>
      <c r="O112" s="12"/>
      <c r="P112" s="12"/>
      <c r="Q112" s="12"/>
      <c r="R112" s="12"/>
      <c r="S112" s="5"/>
      <c r="U112" s="5"/>
      <c r="V112" s="5"/>
    </row>
    <row r="113" spans="1:22" s="1" customFormat="1" ht="22" customHeight="1">
      <c r="A113" s="54"/>
      <c r="B113" s="66" t="s">
        <v>147</v>
      </c>
      <c r="C113" s="175">
        <f>(C112-316.753)/316.753</f>
        <v>-0.58660217898488731</v>
      </c>
      <c r="D113" s="175">
        <f>(D111-C111)/C111</f>
        <v>0.9044359471290675</v>
      </c>
      <c r="E113" s="175">
        <f t="shared" ref="E113:N113" si="87">(E111-D111)/D111</f>
        <v>0.30998462961603351</v>
      </c>
      <c r="F113" s="175">
        <f t="shared" si="87"/>
        <v>-9.8607122842052832E-3</v>
      </c>
      <c r="G113" s="175">
        <f t="shared" si="87"/>
        <v>1.3098879656375738E-2</v>
      </c>
      <c r="H113" s="175">
        <f t="shared" si="87"/>
        <v>-3.5834313942570513E-3</v>
      </c>
      <c r="I113" s="175">
        <f t="shared" si="87"/>
        <v>-3.6905380750870728E-2</v>
      </c>
      <c r="J113" s="175">
        <f>(J111-I111)/I111</f>
        <v>2.5101852378329972E-2</v>
      </c>
      <c r="K113" s="175">
        <f>(K111-J111)/J111</f>
        <v>0</v>
      </c>
      <c r="L113" s="175">
        <f t="shared" si="87"/>
        <v>0</v>
      </c>
      <c r="M113" s="175">
        <f t="shared" si="87"/>
        <v>0</v>
      </c>
      <c r="N113" s="175">
        <f t="shared" si="87"/>
        <v>0</v>
      </c>
      <c r="O113" s="5"/>
      <c r="P113" s="5"/>
      <c r="Q113" s="5"/>
      <c r="R113" s="5"/>
      <c r="S113" s="5"/>
      <c r="U113" s="5"/>
    </row>
    <row r="114" spans="1:22" s="4" customFormat="1" ht="22" customHeight="1">
      <c r="A114" s="54"/>
      <c r="B114" s="65"/>
      <c r="C114" s="104"/>
      <c r="D114" s="71"/>
      <c r="E114" s="71"/>
      <c r="F114" s="71"/>
      <c r="G114" s="71"/>
      <c r="H114" s="71"/>
      <c r="I114" s="77"/>
      <c r="J114" s="66"/>
      <c r="K114" s="66"/>
      <c r="L114" s="66"/>
      <c r="M114" s="66"/>
      <c r="N114" s="66"/>
      <c r="O114" s="5"/>
      <c r="P114" s="5"/>
      <c r="Q114" s="5"/>
      <c r="R114" s="5"/>
      <c r="S114" s="5"/>
      <c r="U114" s="6"/>
      <c r="V114" s="5"/>
    </row>
    <row r="115" spans="1:22" s="5" customFormat="1" ht="22" customHeight="1">
      <c r="A115" s="64" t="s">
        <v>103</v>
      </c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71"/>
      <c r="U115" s="1"/>
    </row>
    <row r="116" spans="1:22" s="5" customFormat="1" ht="22" customHeight="1">
      <c r="A116" s="64"/>
      <c r="B116" s="67" t="s">
        <v>137</v>
      </c>
      <c r="C116" s="77">
        <f>C117-C100</f>
        <v>137.37003428730901</v>
      </c>
      <c r="D116" s="77">
        <f t="shared" ref="D116:N116" si="88">D117-D100</f>
        <v>186.03053385623002</v>
      </c>
      <c r="E116" s="77">
        <f t="shared" si="88"/>
        <v>243.68831150395954</v>
      </c>
      <c r="F116" s="77">
        <f t="shared" si="88"/>
        <v>358.54794288655262</v>
      </c>
      <c r="G116" s="77">
        <f t="shared" si="88"/>
        <v>366.38455914837476</v>
      </c>
      <c r="H116" s="77">
        <f t="shared" si="88"/>
        <v>365.04691380585962</v>
      </c>
      <c r="I116" s="77">
        <f t="shared" si="88"/>
        <v>351.5747184599241</v>
      </c>
      <c r="J116" s="77">
        <f t="shared" si="88"/>
        <v>360.39989514265801</v>
      </c>
      <c r="K116" s="77">
        <f t="shared" si="88"/>
        <v>360.39989514265801</v>
      </c>
      <c r="L116" s="77">
        <f t="shared" si="88"/>
        <v>360.39989514265801</v>
      </c>
      <c r="M116" s="77">
        <f t="shared" si="88"/>
        <v>360.39989514265801</v>
      </c>
      <c r="N116" s="77">
        <f t="shared" si="88"/>
        <v>360.39989514265801</v>
      </c>
      <c r="O116" s="71"/>
      <c r="U116" s="1"/>
    </row>
    <row r="117" spans="1:22" s="5" customFormat="1" ht="22" customHeight="1">
      <c r="A117" s="67"/>
      <c r="B117" s="67" t="s">
        <v>109</v>
      </c>
      <c r="C117" s="71">
        <v>184.15299999999999</v>
      </c>
      <c r="D117" s="71">
        <v>220.828</v>
      </c>
      <c r="E117" s="71">
        <v>284.21300000000002</v>
      </c>
      <c r="F117" s="71">
        <v>440.00200000000001</v>
      </c>
      <c r="G117" s="71">
        <v>456.12900000000002</v>
      </c>
      <c r="H117" s="71">
        <v>461.54899999999998</v>
      </c>
      <c r="I117" s="189">
        <f>H117*(1+I75)</f>
        <v>447.70252999999997</v>
      </c>
      <c r="J117" s="71">
        <f t="shared" ref="J117:N117" si="89">I117*(1+J75)</f>
        <v>456.65658059999998</v>
      </c>
      <c r="K117" s="71">
        <f t="shared" si="89"/>
        <v>456.65658059999998</v>
      </c>
      <c r="L117" s="71">
        <f t="shared" si="89"/>
        <v>456.65658059999998</v>
      </c>
      <c r="M117" s="71">
        <f t="shared" si="89"/>
        <v>456.65658059999998</v>
      </c>
      <c r="N117" s="71">
        <f t="shared" si="89"/>
        <v>456.65658059999998</v>
      </c>
      <c r="U117" s="1"/>
      <c r="V117" s="4"/>
    </row>
    <row r="118" spans="1:22" s="4" customFormat="1" ht="22" customHeight="1">
      <c r="A118" s="67"/>
      <c r="B118" s="64" t="s">
        <v>143</v>
      </c>
      <c r="C118" s="64">
        <f>(C117-494.243)/494.243</f>
        <v>-0.62740392883662499</v>
      </c>
      <c r="D118" s="64">
        <f>(D116-C116)/C116</f>
        <v>0.35422936174819408</v>
      </c>
      <c r="E118" s="64">
        <f t="shared" ref="E118:N118" si="90">(E116-D116)/D116</f>
        <v>0.30993717242293772</v>
      </c>
      <c r="F118" s="64">
        <f t="shared" si="90"/>
        <v>0.47133828731349225</v>
      </c>
      <c r="G118" s="64">
        <f t="shared" si="90"/>
        <v>2.185653667047174E-2</v>
      </c>
      <c r="H118" s="64">
        <f t="shared" si="90"/>
        <v>-3.6509326310704025E-3</v>
      </c>
      <c r="I118" s="64">
        <f t="shared" si="90"/>
        <v>-3.6905380750870673E-2</v>
      </c>
      <c r="J118" s="64">
        <f>(J116-I116)/I116</f>
        <v>2.51018523783299E-2</v>
      </c>
      <c r="K118" s="64">
        <f>(K116-J116)/J116</f>
        <v>0</v>
      </c>
      <c r="L118" s="64">
        <f t="shared" si="90"/>
        <v>0</v>
      </c>
      <c r="M118" s="64">
        <f t="shared" si="90"/>
        <v>0</v>
      </c>
      <c r="N118" s="64">
        <f t="shared" si="90"/>
        <v>0</v>
      </c>
      <c r="O118" s="5"/>
      <c r="P118" s="5"/>
      <c r="Q118" s="5"/>
      <c r="R118" s="5"/>
      <c r="U118" s="1"/>
      <c r="V118" s="1"/>
    </row>
    <row r="119" spans="1:22" s="5" customFormat="1" ht="22" customHeight="1">
      <c r="A119" s="67"/>
      <c r="B119" s="64"/>
      <c r="C119" s="181"/>
      <c r="D119" s="64"/>
      <c r="E119" s="64"/>
      <c r="F119" s="99"/>
      <c r="G119" s="99"/>
      <c r="H119" s="99"/>
      <c r="I119" s="67"/>
      <c r="J119" s="67"/>
      <c r="K119" s="67"/>
      <c r="L119" s="174"/>
      <c r="M119" s="66"/>
      <c r="N119" s="66"/>
      <c r="S119" s="1"/>
      <c r="U119" s="1"/>
      <c r="V119" s="1"/>
    </row>
    <row r="120" spans="1:22" s="5" customFormat="1" ht="22" customHeight="1">
      <c r="A120" s="101" t="s">
        <v>110</v>
      </c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2"/>
      <c r="M120" s="62"/>
      <c r="N120" s="89"/>
      <c r="S120" s="1"/>
      <c r="U120" s="4"/>
      <c r="V120" s="1"/>
    </row>
    <row r="121" spans="1:22" s="5" customFormat="1" ht="22" customHeight="1">
      <c r="A121" s="101"/>
      <c r="B121" s="101" t="s">
        <v>149</v>
      </c>
      <c r="C121" s="71">
        <f>C122-C102</f>
        <v>61.824832838629675</v>
      </c>
      <c r="D121" s="71">
        <f t="shared" ref="D121:N121" si="91">D122-D102</f>
        <v>119.85148645880886</v>
      </c>
      <c r="E121" s="71">
        <f t="shared" si="91"/>
        <v>172.69354391472416</v>
      </c>
      <c r="F121" s="71">
        <f t="shared" si="91"/>
        <v>180.90454229003609</v>
      </c>
      <c r="G121" s="71">
        <f t="shared" si="91"/>
        <v>178.39568607771045</v>
      </c>
      <c r="H121" s="71">
        <f t="shared" si="91"/>
        <v>181.98286518767031</v>
      </c>
      <c r="I121" s="71">
        <f t="shared" si="91"/>
        <v>175.26671825778496</v>
      </c>
      <c r="J121" s="71">
        <f t="shared" si="91"/>
        <v>179.66623754632622</v>
      </c>
      <c r="K121" s="71">
        <f t="shared" si="91"/>
        <v>179.66623754632622</v>
      </c>
      <c r="L121" s="71">
        <f t="shared" si="91"/>
        <v>179.66623754632622</v>
      </c>
      <c r="M121" s="71">
        <f t="shared" si="91"/>
        <v>179.66623754632622</v>
      </c>
      <c r="N121" s="71">
        <f t="shared" si="91"/>
        <v>179.66623754632622</v>
      </c>
      <c r="S121" s="1"/>
      <c r="U121" s="4"/>
      <c r="V121" s="1"/>
    </row>
    <row r="122" spans="1:22" s="5" customFormat="1" ht="22" customHeight="1">
      <c r="A122" s="54"/>
      <c r="B122" s="101" t="s">
        <v>150</v>
      </c>
      <c r="C122" s="71">
        <v>82.88</v>
      </c>
      <c r="D122" s="71">
        <v>142.27000000000001</v>
      </c>
      <c r="E122" s="71">
        <v>201.41200000000001</v>
      </c>
      <c r="F122" s="71">
        <v>222.00200000000001</v>
      </c>
      <c r="G122" s="176">
        <v>222.09299999999999</v>
      </c>
      <c r="H122" s="71">
        <v>230.09100000000001</v>
      </c>
      <c r="I122" s="71">
        <f t="shared" ref="I122:N122" si="92">H122*(1+I75)</f>
        <v>223.18826999999999</v>
      </c>
      <c r="J122" s="71">
        <f t="shared" si="92"/>
        <v>227.65203539999999</v>
      </c>
      <c r="K122" s="71">
        <f t="shared" si="92"/>
        <v>227.65203539999999</v>
      </c>
      <c r="L122" s="71">
        <f t="shared" si="92"/>
        <v>227.65203539999999</v>
      </c>
      <c r="M122" s="71">
        <f t="shared" si="92"/>
        <v>227.65203539999999</v>
      </c>
      <c r="N122" s="71">
        <f t="shared" si="92"/>
        <v>227.65203539999999</v>
      </c>
      <c r="O122" s="4"/>
      <c r="P122" s="4"/>
      <c r="Q122" s="4"/>
      <c r="R122" s="4"/>
      <c r="S122" s="1"/>
      <c r="V122" s="4"/>
    </row>
    <row r="123" spans="1:22" s="4" customFormat="1" ht="22" customHeight="1">
      <c r="A123" s="57"/>
      <c r="B123" s="101" t="s">
        <v>148</v>
      </c>
      <c r="C123" s="164">
        <f>(C122-201.008)/201.008</f>
        <v>-0.58767810236408502</v>
      </c>
      <c r="D123" s="164">
        <f>(D121-C121)/C121</f>
        <v>0.9385654753266508</v>
      </c>
      <c r="E123" s="164">
        <f t="shared" ref="E123:N123" si="93">(E121-D121)/D121</f>
        <v>0.44089613752163437</v>
      </c>
      <c r="F123" s="164">
        <f t="shared" si="93"/>
        <v>4.7546643546596684E-2</v>
      </c>
      <c r="G123" s="164">
        <f t="shared" si="93"/>
        <v>-1.386839810966882E-2</v>
      </c>
      <c r="H123" s="164">
        <f t="shared" si="93"/>
        <v>2.0107992456708069E-2</v>
      </c>
      <c r="I123" s="164">
        <f t="shared" si="93"/>
        <v>-3.6905380750870749E-2</v>
      </c>
      <c r="J123" s="164">
        <f>(J121-I121)/I121</f>
        <v>2.5101852378329903E-2</v>
      </c>
      <c r="K123" s="164">
        <f>(K121-J121)/J121</f>
        <v>0</v>
      </c>
      <c r="L123" s="164">
        <f t="shared" si="93"/>
        <v>0</v>
      </c>
      <c r="M123" s="164">
        <f t="shared" si="93"/>
        <v>0</v>
      </c>
      <c r="N123" s="164">
        <f t="shared" si="93"/>
        <v>0</v>
      </c>
      <c r="O123" s="6"/>
      <c r="P123" s="6"/>
      <c r="Q123" s="6"/>
      <c r="R123" s="6"/>
      <c r="U123" s="5"/>
      <c r="V123" s="5"/>
    </row>
    <row r="124" spans="1:22" s="1" customFormat="1" ht="22" customHeight="1">
      <c r="A124" s="67"/>
      <c r="B124" s="54"/>
      <c r="C124" s="86"/>
      <c r="D124" s="86"/>
      <c r="E124" s="86"/>
      <c r="F124" s="86"/>
      <c r="G124" s="54"/>
      <c r="H124" s="54"/>
      <c r="I124" s="54"/>
      <c r="J124" s="54"/>
      <c r="K124" s="66"/>
      <c r="L124" s="65"/>
      <c r="M124" s="65"/>
      <c r="N124" s="65"/>
      <c r="S124" s="5"/>
      <c r="U124" s="5"/>
      <c r="V124" s="5"/>
    </row>
    <row r="125" spans="1:22" s="5" customFormat="1" ht="22" customHeight="1">
      <c r="A125" s="67"/>
      <c r="B125" s="54" t="s">
        <v>111</v>
      </c>
      <c r="C125" s="71">
        <f t="shared" ref="C125:N125" si="94">C93+C112+C117+C122</f>
        <v>1967.1709999999998</v>
      </c>
      <c r="D125" s="71">
        <f t="shared" si="94"/>
        <v>3305.433</v>
      </c>
      <c r="E125" s="71">
        <f t="shared" si="94"/>
        <v>3670.9100000000003</v>
      </c>
      <c r="F125" s="71">
        <f t="shared" si="94"/>
        <v>3670.3089999999997</v>
      </c>
      <c r="G125" s="71">
        <f t="shared" si="94"/>
        <v>3720.3219999999997</v>
      </c>
      <c r="H125" s="71">
        <f t="shared" si="94"/>
        <v>3772.3329999999996</v>
      </c>
      <c r="I125" s="71">
        <f t="shared" si="94"/>
        <v>3563.207699999999</v>
      </c>
      <c r="J125" s="71">
        <f t="shared" si="94"/>
        <v>3702.1979329999995</v>
      </c>
      <c r="K125" s="71">
        <f t="shared" si="94"/>
        <v>3702.1979329999995</v>
      </c>
      <c r="L125" s="71">
        <f t="shared" si="94"/>
        <v>3702.1979329999995</v>
      </c>
      <c r="M125" s="71">
        <f t="shared" si="94"/>
        <v>3702.1979329999995</v>
      </c>
      <c r="N125" s="71">
        <f t="shared" si="94"/>
        <v>3702.1979329999995</v>
      </c>
      <c r="O125" s="1"/>
      <c r="P125" s="1"/>
      <c r="Q125" s="1"/>
      <c r="R125" s="1"/>
      <c r="U125" s="4"/>
      <c r="V125" s="4"/>
    </row>
    <row r="126" spans="1:22" s="5" customFormat="1" ht="22" customHeight="1">
      <c r="A126" s="67"/>
      <c r="B126" s="62" t="s">
        <v>112</v>
      </c>
      <c r="C126" s="72">
        <f t="shared" ref="C126:N126" si="95">C125/C198</f>
        <v>0.41370219292069449</v>
      </c>
      <c r="D126" s="72">
        <f t="shared" si="95"/>
        <v>0.36267031907354241</v>
      </c>
      <c r="E126" s="72">
        <f t="shared" si="95"/>
        <v>0.29434982571816304</v>
      </c>
      <c r="F126" s="72">
        <f t="shared" si="95"/>
        <v>0.22905995204235116</v>
      </c>
      <c r="G126" s="72">
        <f t="shared" si="95"/>
        <v>0.21781568796688597</v>
      </c>
      <c r="H126" s="72">
        <f t="shared" si="95"/>
        <v>0.21813445881703358</v>
      </c>
      <c r="I126" s="72">
        <f t="shared" si="95"/>
        <v>0.2240686130746023</v>
      </c>
      <c r="J126" s="72">
        <f t="shared" si="95"/>
        <v>0.23080599526387968</v>
      </c>
      <c r="K126" s="72">
        <f t="shared" si="95"/>
        <v>0.23189798726327546</v>
      </c>
      <c r="L126" s="72">
        <f t="shared" si="95"/>
        <v>0.23235175758903706</v>
      </c>
      <c r="M126" s="72">
        <f t="shared" si="95"/>
        <v>0.23327792094224942</v>
      </c>
      <c r="N126" s="72">
        <f t="shared" si="95"/>
        <v>0.2341237552789418</v>
      </c>
      <c r="O126" s="1"/>
      <c r="P126" s="1"/>
      <c r="Q126" s="1"/>
      <c r="R126" s="1"/>
      <c r="S126" s="4"/>
    </row>
    <row r="127" spans="1:22" s="1" customFormat="1" ht="22" customHeight="1">
      <c r="A127" s="67"/>
      <c r="B127" s="62" t="s">
        <v>113</v>
      </c>
      <c r="C127" s="72">
        <f t="shared" ref="C127:G127" si="96">C128/C125</f>
        <v>-0.22917722324330841</v>
      </c>
      <c r="D127" s="72">
        <f t="shared" si="96"/>
        <v>0.15077002815428933</v>
      </c>
      <c r="E127" s="72">
        <f t="shared" si="96"/>
        <v>0.10588297627853296</v>
      </c>
      <c r="F127" s="72">
        <f t="shared" si="96"/>
        <v>0.1166660757944218</v>
      </c>
      <c r="G127" s="72">
        <f t="shared" si="96"/>
        <v>0.1265185637840871</v>
      </c>
      <c r="H127" s="72">
        <f>H128/H125</f>
        <v>0.11891185220342254</v>
      </c>
      <c r="I127" s="185">
        <f>7%</f>
        <v>7.0000000000000007E-2</v>
      </c>
      <c r="J127" s="72">
        <f>8%</f>
        <v>0.08</v>
      </c>
      <c r="K127" s="72">
        <f>9%</f>
        <v>0.09</v>
      </c>
      <c r="L127" s="72">
        <f>$K$127</f>
        <v>0.09</v>
      </c>
      <c r="M127" s="72">
        <f t="shared" ref="M127:N127" si="97">$K$127</f>
        <v>0.09</v>
      </c>
      <c r="N127" s="72">
        <f t="shared" si="97"/>
        <v>0.09</v>
      </c>
      <c r="S127" s="5"/>
      <c r="U127" s="5"/>
      <c r="V127" s="5"/>
    </row>
    <row r="128" spans="1:22" s="1" customFormat="1" ht="22" customHeight="1">
      <c r="A128" s="70"/>
      <c r="B128" s="62" t="s">
        <v>114</v>
      </c>
      <c r="C128" s="77">
        <f>343.99 -(1210.556*C126)-(710.683*C126)</f>
        <v>-450.83078742476221</v>
      </c>
      <c r="D128" s="77">
        <f>1217.814-(1150.61*D126)-(833.158*D126)</f>
        <v>498.36022647211701</v>
      </c>
      <c r="E128" s="77">
        <f>1294.63-(814.128*E126)-(2263.649*E126)</f>
        <v>388.68687645062948</v>
      </c>
      <c r="F128" s="77">
        <f>1133.196-(814.128*F126)-(2263.649*F126)</f>
        <v>428.20054798294848</v>
      </c>
      <c r="G128" s="77">
        <f>1143.556-(831.097*G126)-(2258.057*G126)</f>
        <v>470.68979625434247</v>
      </c>
      <c r="H128" s="77">
        <f>1163.227-(1017.794*H126)-(2258.405*H126)</f>
        <v>448.5751041580935</v>
      </c>
      <c r="I128" s="77">
        <f>I125*I127</f>
        <v>249.42453899999995</v>
      </c>
      <c r="J128" s="77">
        <f t="shared" ref="J128:N128" si="98">J125*J127</f>
        <v>296.17583463999995</v>
      </c>
      <c r="K128" s="77">
        <f t="shared" si="98"/>
        <v>333.19781396999991</v>
      </c>
      <c r="L128" s="77">
        <f t="shared" si="98"/>
        <v>333.19781396999991</v>
      </c>
      <c r="M128" s="77">
        <f t="shared" si="98"/>
        <v>333.19781396999991</v>
      </c>
      <c r="N128" s="77">
        <f t="shared" si="98"/>
        <v>333.19781396999991</v>
      </c>
      <c r="O128" s="4"/>
      <c r="P128" s="4"/>
      <c r="Q128" s="4"/>
      <c r="R128" s="4"/>
      <c r="S128" s="5"/>
      <c r="U128" s="5"/>
      <c r="V128" s="5"/>
    </row>
    <row r="129" spans="1:26" s="1" customFormat="1" ht="22" customHeight="1">
      <c r="A129" s="65"/>
      <c r="B129" s="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5"/>
      <c r="P129" s="5"/>
      <c r="Q129" s="5"/>
      <c r="R129" s="5"/>
      <c r="S129" s="5"/>
      <c r="U129" s="5"/>
      <c r="V129" s="4"/>
    </row>
    <row r="130" spans="1:26" s="4" customFormat="1" ht="22" customHeight="1">
      <c r="A130" s="70" t="s">
        <v>117</v>
      </c>
      <c r="B130" s="54" t="s">
        <v>118</v>
      </c>
      <c r="C130" s="157" t="s">
        <v>90</v>
      </c>
      <c r="D130" s="157" t="s">
        <v>90</v>
      </c>
      <c r="E130" s="157" t="s">
        <v>90</v>
      </c>
      <c r="F130" s="157" t="s">
        <v>90</v>
      </c>
      <c r="G130" s="157" t="s">
        <v>90</v>
      </c>
      <c r="H130" s="157" t="s">
        <v>90</v>
      </c>
      <c r="I130" s="155">
        <v>-0.03</v>
      </c>
      <c r="J130" s="155">
        <v>-0.02</v>
      </c>
      <c r="K130" s="79">
        <f>$J$130</f>
        <v>-0.02</v>
      </c>
      <c r="L130" s="79">
        <f t="shared" ref="L130:N130" si="99">$J$130</f>
        <v>-0.02</v>
      </c>
      <c r="M130" s="79">
        <f t="shared" si="99"/>
        <v>-0.02</v>
      </c>
      <c r="N130" s="79">
        <f t="shared" si="99"/>
        <v>-0.02</v>
      </c>
      <c r="O130" s="5"/>
      <c r="P130" s="5"/>
      <c r="Q130" s="5"/>
      <c r="R130" s="5"/>
      <c r="U130" s="1"/>
      <c r="V130" s="5"/>
    </row>
    <row r="131" spans="1:26" s="1" customFormat="1" ht="22" customHeight="1">
      <c r="A131" s="67"/>
      <c r="B131" s="64" t="s">
        <v>72</v>
      </c>
      <c r="C131" s="157" t="s">
        <v>90</v>
      </c>
      <c r="D131" s="157" t="s">
        <v>90</v>
      </c>
      <c r="E131" s="157" t="s">
        <v>90</v>
      </c>
      <c r="F131" s="157" t="s">
        <v>90</v>
      </c>
      <c r="G131" s="157" t="s">
        <v>90</v>
      </c>
      <c r="H131" s="157" t="s">
        <v>90</v>
      </c>
      <c r="I131" s="154">
        <v>-0.02</v>
      </c>
      <c r="J131" s="154">
        <v>-5.0000000000000001E-3</v>
      </c>
      <c r="K131" s="79">
        <f>$J$8</f>
        <v>-1.4999999999999999E-2</v>
      </c>
      <c r="L131" s="79">
        <f t="shared" ref="L131:N131" si="100">$J$8</f>
        <v>-1.4999999999999999E-2</v>
      </c>
      <c r="M131" s="79">
        <f t="shared" si="100"/>
        <v>-1.4999999999999999E-2</v>
      </c>
      <c r="N131" s="79">
        <f t="shared" si="100"/>
        <v>-1.4999999999999999E-2</v>
      </c>
      <c r="S131" s="5"/>
      <c r="T131" s="5"/>
      <c r="U131" s="5"/>
      <c r="V131" s="5"/>
      <c r="Z131" s="5"/>
    </row>
    <row r="132" spans="1:26" s="1" customFormat="1" ht="22" customHeight="1">
      <c r="A132" s="67"/>
      <c r="B132" s="64" t="s">
        <v>93</v>
      </c>
      <c r="C132" s="157" t="s">
        <v>90</v>
      </c>
      <c r="D132" s="157" t="s">
        <v>90</v>
      </c>
      <c r="E132" s="157" t="s">
        <v>90</v>
      </c>
      <c r="F132" s="157" t="s">
        <v>90</v>
      </c>
      <c r="G132" s="157" t="s">
        <v>90</v>
      </c>
      <c r="H132" s="157" t="s">
        <v>90</v>
      </c>
      <c r="I132" s="64">
        <v>0</v>
      </c>
      <c r="J132" s="64">
        <v>0</v>
      </c>
      <c r="K132" s="64">
        <v>0</v>
      </c>
      <c r="L132" s="79">
        <v>0</v>
      </c>
      <c r="M132" s="64">
        <v>0</v>
      </c>
      <c r="N132" s="64">
        <v>0</v>
      </c>
      <c r="O132" s="5"/>
      <c r="P132" s="5"/>
      <c r="Q132" s="5"/>
      <c r="R132" s="5"/>
      <c r="S132" s="4"/>
      <c r="T132" s="4"/>
      <c r="U132" s="4"/>
      <c r="V132" s="4"/>
      <c r="W132" s="5"/>
    </row>
    <row r="133" spans="1:26" s="1" customFormat="1" ht="22" customHeight="1">
      <c r="A133" s="66"/>
      <c r="B133" s="64" t="s">
        <v>91</v>
      </c>
      <c r="C133" s="157" t="s">
        <v>90</v>
      </c>
      <c r="D133" s="157" t="s">
        <v>90</v>
      </c>
      <c r="E133" s="157" t="s">
        <v>90</v>
      </c>
      <c r="F133" s="157" t="s">
        <v>90</v>
      </c>
      <c r="G133" s="157" t="s">
        <v>90</v>
      </c>
      <c r="H133" s="157" t="s">
        <v>90</v>
      </c>
      <c r="I133" s="158">
        <f>SUM(I130:I132)</f>
        <v>-0.05</v>
      </c>
      <c r="J133" s="158">
        <f>SUM(J130:J132)</f>
        <v>-2.5000000000000001E-2</v>
      </c>
      <c r="K133" s="158">
        <f>SUM(K130:K132)</f>
        <v>-3.5000000000000003E-2</v>
      </c>
      <c r="L133" s="158">
        <f t="shared" ref="L133:N133" si="101">SUM(L130:L132)</f>
        <v>-3.5000000000000003E-2</v>
      </c>
      <c r="M133" s="158">
        <f t="shared" si="101"/>
        <v>-3.5000000000000003E-2</v>
      </c>
      <c r="N133" s="158">
        <f t="shared" si="101"/>
        <v>-3.5000000000000003E-2</v>
      </c>
      <c r="O133" s="5"/>
      <c r="P133" s="5"/>
      <c r="Q133" s="5"/>
      <c r="R133" s="5"/>
      <c r="S133" s="5"/>
      <c r="T133" s="5"/>
      <c r="U133" s="5"/>
      <c r="V133" s="5"/>
      <c r="W133" s="5"/>
      <c r="X133" s="4"/>
      <c r="Y133" s="4"/>
    </row>
    <row r="134" spans="1:26" s="10" customFormat="1" ht="22" customHeight="1">
      <c r="A134" s="65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1"/>
      <c r="P134" s="1"/>
      <c r="Q134" s="1"/>
      <c r="R134" s="1"/>
      <c r="S134" s="5"/>
      <c r="T134" s="5"/>
      <c r="U134" s="5"/>
      <c r="V134" s="5"/>
      <c r="W134" s="1"/>
      <c r="X134" s="5"/>
      <c r="Y134" s="5"/>
      <c r="Z134" s="1"/>
    </row>
    <row r="135" spans="1:26" s="10" customFormat="1" ht="22" customHeight="1">
      <c r="A135" s="54" t="s">
        <v>94</v>
      </c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1"/>
      <c r="P135" s="1"/>
      <c r="Q135" s="1"/>
      <c r="R135" s="1"/>
      <c r="S135" s="5"/>
      <c r="T135" s="5"/>
      <c r="U135" s="5"/>
      <c r="V135" s="5"/>
      <c r="W135" s="1"/>
      <c r="X135" s="5"/>
      <c r="Y135" s="5"/>
      <c r="Z135" s="1"/>
    </row>
    <row r="136" spans="1:26" s="2" customFormat="1" ht="22" customHeight="1">
      <c r="A136" s="152" t="s">
        <v>70</v>
      </c>
      <c r="B136" s="54" t="s">
        <v>82</v>
      </c>
      <c r="C136" s="71">
        <v>752.06700000000001</v>
      </c>
      <c r="D136" s="176">
        <v>4509</v>
      </c>
      <c r="E136" s="176">
        <v>2512</v>
      </c>
      <c r="F136" s="176">
        <v>12115</v>
      </c>
      <c r="G136" s="176">
        <v>14681</v>
      </c>
      <c r="H136" s="71">
        <v>15836</v>
      </c>
      <c r="I136" s="83">
        <f>H136*(1+I133)</f>
        <v>15044.199999999999</v>
      </c>
      <c r="J136" s="83">
        <f>I136*(1+J133)</f>
        <v>14668.094999999999</v>
      </c>
      <c r="K136" s="83">
        <f>J136*(1+K133)</f>
        <v>14154.711674999999</v>
      </c>
      <c r="L136" s="83">
        <f t="shared" ref="L136:N136" si="102">K136*(1+L133)</f>
        <v>13659.296766374999</v>
      </c>
      <c r="M136" s="83">
        <f t="shared" si="102"/>
        <v>13181.221379551873</v>
      </c>
      <c r="N136" s="83">
        <f t="shared" si="102"/>
        <v>12719.878631267557</v>
      </c>
      <c r="O136" s="1"/>
      <c r="P136" s="1"/>
      <c r="Q136" s="1"/>
      <c r="R136" s="1"/>
      <c r="S136" s="5"/>
      <c r="T136" s="5"/>
      <c r="U136" s="5"/>
      <c r="V136" s="5"/>
      <c r="W136" s="1"/>
      <c r="X136" s="4"/>
      <c r="Y136" s="4"/>
      <c r="Z136" s="4"/>
    </row>
    <row r="137" spans="1:26" s="2" customFormat="1" ht="22" customHeight="1">
      <c r="A137" s="136"/>
      <c r="B137" s="64" t="s">
        <v>67</v>
      </c>
      <c r="C137" s="72">
        <f>(C136-4226)/4226</f>
        <v>-0.82203809749171797</v>
      </c>
      <c r="D137" s="72">
        <f>(D136-C136)/C136</f>
        <v>4.9954764668573413</v>
      </c>
      <c r="E137" s="72">
        <f t="shared" ref="E137:I137" si="103">(E136-D136)/D136</f>
        <v>-0.44289199379019739</v>
      </c>
      <c r="F137" s="72">
        <f t="shared" si="103"/>
        <v>3.8228503184713376</v>
      </c>
      <c r="G137" s="72">
        <f t="shared" si="103"/>
        <v>0.21180354931902601</v>
      </c>
      <c r="H137" s="72">
        <f t="shared" si="103"/>
        <v>7.8673114910428443E-2</v>
      </c>
      <c r="I137" s="151">
        <f t="shared" si="103"/>
        <v>-5.0000000000000072E-2</v>
      </c>
      <c r="J137" s="151">
        <f>(J136-I136)/I136</f>
        <v>-2.4999999999999974E-2</v>
      </c>
      <c r="K137" s="151">
        <f>(K136-J136)/J136</f>
        <v>-3.5000000000000052E-2</v>
      </c>
      <c r="L137" s="151">
        <f t="shared" ref="L137:N137" si="104">(L136-K136)/K136</f>
        <v>-3.5000000000000003E-2</v>
      </c>
      <c r="M137" s="151">
        <f t="shared" si="104"/>
        <v>-3.5000000000000066E-2</v>
      </c>
      <c r="N137" s="151">
        <f t="shared" si="104"/>
        <v>-3.5000000000000052E-2</v>
      </c>
      <c r="O137" s="1"/>
      <c r="P137" s="1"/>
      <c r="Q137" s="1"/>
      <c r="R137" s="1"/>
      <c r="S137" s="1"/>
      <c r="T137" s="1"/>
      <c r="U137" s="1"/>
      <c r="V137" s="1"/>
      <c r="W137" s="4"/>
      <c r="X137" s="4"/>
      <c r="Y137" s="4"/>
      <c r="Z137" s="4"/>
    </row>
    <row r="138" spans="1:26" s="1" customFormat="1" ht="22" customHeight="1">
      <c r="A138" s="152"/>
      <c r="B138" s="54" t="s">
        <v>68</v>
      </c>
      <c r="C138" s="84">
        <v>0.22900000000000001</v>
      </c>
      <c r="D138" s="79">
        <v>0.214</v>
      </c>
      <c r="E138" s="79">
        <v>0.22800000000000001</v>
      </c>
      <c r="F138" s="79">
        <v>0.22600000000000001</v>
      </c>
      <c r="G138" s="79">
        <v>0.25</v>
      </c>
      <c r="H138" s="79">
        <v>0.255</v>
      </c>
      <c r="I138" s="155">
        <f>AVERAGE(C138:H138)</f>
        <v>0.23366666666666669</v>
      </c>
      <c r="J138" s="79">
        <f>$I$15</f>
        <v>0.24666666666666667</v>
      </c>
      <c r="K138" s="79">
        <f>$I$15</f>
        <v>0.24666666666666667</v>
      </c>
      <c r="L138" s="79">
        <f>$I$15</f>
        <v>0.24666666666666667</v>
      </c>
      <c r="M138" s="79">
        <f>$I$15</f>
        <v>0.24666666666666667</v>
      </c>
      <c r="N138" s="79">
        <f>$I$15</f>
        <v>0.24666666666666667</v>
      </c>
      <c r="O138" s="4"/>
      <c r="P138" s="4"/>
      <c r="Q138" s="4"/>
      <c r="R138" s="4"/>
      <c r="X138" s="5"/>
      <c r="Y138" s="5"/>
    </row>
    <row r="139" spans="1:26" s="1" customFormat="1" ht="22" customHeight="1">
      <c r="A139" s="152"/>
      <c r="B139" s="54" t="s">
        <v>83</v>
      </c>
      <c r="C139" s="71">
        <f t="shared" ref="C139:N139" si="105">C136*C138</f>
        <v>172.223343</v>
      </c>
      <c r="D139" s="71">
        <f t="shared" si="105"/>
        <v>964.92599999999993</v>
      </c>
      <c r="E139" s="71">
        <f t="shared" si="105"/>
        <v>572.73599999999999</v>
      </c>
      <c r="F139" s="71">
        <f t="shared" si="105"/>
        <v>2737.9900000000002</v>
      </c>
      <c r="G139" s="71">
        <f t="shared" si="105"/>
        <v>3670.25</v>
      </c>
      <c r="H139" s="71">
        <f t="shared" si="105"/>
        <v>4038.1800000000003</v>
      </c>
      <c r="I139" s="71">
        <f t="shared" si="105"/>
        <v>3515.3280666666669</v>
      </c>
      <c r="J139" s="71">
        <f t="shared" si="105"/>
        <v>3618.1300999999999</v>
      </c>
      <c r="K139" s="71">
        <f t="shared" si="105"/>
        <v>3491.4955464999998</v>
      </c>
      <c r="L139" s="71">
        <f t="shared" si="105"/>
        <v>3369.2932023724998</v>
      </c>
      <c r="M139" s="71">
        <f t="shared" si="105"/>
        <v>3251.3679402894622</v>
      </c>
      <c r="N139" s="71">
        <f t="shared" si="105"/>
        <v>3137.5700623793309</v>
      </c>
      <c r="X139" s="5"/>
      <c r="Y139" s="5"/>
    </row>
    <row r="140" spans="1:26" s="1" customFormat="1" ht="22" customHeight="1">
      <c r="A140" s="152"/>
      <c r="B140" s="54"/>
      <c r="C140" s="54"/>
      <c r="D140" s="54"/>
      <c r="E140" s="54"/>
      <c r="F140" s="54"/>
      <c r="G140" s="54"/>
      <c r="H140" s="54"/>
      <c r="I140" s="54"/>
      <c r="J140" s="54"/>
      <c r="K140" s="71"/>
      <c r="L140" s="71"/>
      <c r="M140" s="71"/>
      <c r="N140" s="71"/>
      <c r="U140" s="4"/>
      <c r="V140" s="4"/>
      <c r="W140" s="4"/>
      <c r="X140" s="4"/>
      <c r="Y140" s="4"/>
      <c r="Z140" s="10"/>
    </row>
    <row r="141" spans="1:26" s="1" customFormat="1" ht="22" customHeight="1">
      <c r="A141" s="152" t="s">
        <v>77</v>
      </c>
      <c r="B141" s="66" t="s">
        <v>86</v>
      </c>
      <c r="C141" s="66">
        <f>C136</f>
        <v>752.06700000000001</v>
      </c>
      <c r="D141" s="66">
        <f>D136</f>
        <v>4509</v>
      </c>
      <c r="E141" s="66">
        <f>E136</f>
        <v>2512</v>
      </c>
      <c r="F141" s="66">
        <f>F136</f>
        <v>12115</v>
      </c>
      <c r="G141" s="66">
        <f t="shared" ref="G141:N141" si="106">G136</f>
        <v>14681</v>
      </c>
      <c r="H141" s="66">
        <f t="shared" si="106"/>
        <v>15836</v>
      </c>
      <c r="I141" s="66">
        <f t="shared" si="106"/>
        <v>15044.199999999999</v>
      </c>
      <c r="J141" s="66">
        <f t="shared" si="106"/>
        <v>14668.094999999999</v>
      </c>
      <c r="K141" s="66">
        <f t="shared" si="106"/>
        <v>14154.711674999999</v>
      </c>
      <c r="L141" s="66">
        <f t="shared" si="106"/>
        <v>13659.296766374999</v>
      </c>
      <c r="M141" s="66">
        <f t="shared" si="106"/>
        <v>13181.221379551873</v>
      </c>
      <c r="N141" s="66">
        <f t="shared" si="106"/>
        <v>12719.878631267557</v>
      </c>
      <c r="U141" s="5"/>
      <c r="V141" s="5"/>
      <c r="W141" s="5"/>
      <c r="Z141" s="10"/>
    </row>
    <row r="142" spans="1:26" s="1" customFormat="1" ht="22" customHeight="1">
      <c r="A142" s="136"/>
      <c r="B142" s="54" t="s">
        <v>87</v>
      </c>
      <c r="C142" s="66">
        <f>C139</f>
        <v>172.223343</v>
      </c>
      <c r="D142" s="66">
        <f t="shared" ref="D142:N142" si="107">D139</f>
        <v>964.92599999999993</v>
      </c>
      <c r="E142" s="66">
        <f>E139</f>
        <v>572.73599999999999</v>
      </c>
      <c r="F142" s="66">
        <f>F139</f>
        <v>2737.9900000000002</v>
      </c>
      <c r="G142" s="66">
        <f t="shared" si="107"/>
        <v>3670.25</v>
      </c>
      <c r="H142" s="66">
        <f t="shared" si="107"/>
        <v>4038.1800000000003</v>
      </c>
      <c r="I142" s="66">
        <f>I139</f>
        <v>3515.3280666666669</v>
      </c>
      <c r="J142" s="66">
        <f t="shared" si="107"/>
        <v>3618.1300999999999</v>
      </c>
      <c r="K142" s="66">
        <f t="shared" si="107"/>
        <v>3491.4955464999998</v>
      </c>
      <c r="L142" s="66">
        <f t="shared" si="107"/>
        <v>3369.2932023724998</v>
      </c>
      <c r="M142" s="66">
        <f t="shared" si="107"/>
        <v>3251.3679402894622</v>
      </c>
      <c r="N142" s="66">
        <f t="shared" si="107"/>
        <v>3137.5700623793309</v>
      </c>
      <c r="O142" s="10"/>
      <c r="P142" s="10"/>
      <c r="Q142" s="10"/>
      <c r="R142" s="10"/>
      <c r="S142" s="10"/>
      <c r="T142" s="10"/>
      <c r="U142" s="5"/>
      <c r="V142" s="5"/>
      <c r="W142" s="5"/>
      <c r="X142" s="5"/>
      <c r="Y142" s="5"/>
      <c r="Z142" s="2"/>
    </row>
    <row r="143" spans="1:26" s="1" customFormat="1" ht="22" customHeight="1">
      <c r="A143" s="153"/>
      <c r="B143" s="64" t="s">
        <v>107</v>
      </c>
      <c r="C143" s="71">
        <v>186.39599999999999</v>
      </c>
      <c r="D143" s="71">
        <f>ABS(D142-D146)</f>
        <v>93.036000000000058</v>
      </c>
      <c r="E143" s="71">
        <f t="shared" ref="E143:G143" si="108">ABS(E142-E146)</f>
        <v>5.1630000000000109</v>
      </c>
      <c r="F143" s="71">
        <f t="shared" si="108"/>
        <v>49.846999999999753</v>
      </c>
      <c r="G143" s="71">
        <f t="shared" si="108"/>
        <v>173.55299999999988</v>
      </c>
      <c r="H143" s="71">
        <f>ABS(H142-H146)</f>
        <v>128.53700000000026</v>
      </c>
      <c r="I143" s="71">
        <f>H143*(1+I144)</f>
        <v>122.11015000000025</v>
      </c>
      <c r="J143" s="71">
        <f>I143*(1+J144)</f>
        <v>119.05739625000024</v>
      </c>
      <c r="K143" s="71">
        <f>J143*(1+K144)</f>
        <v>114.89038738125022</v>
      </c>
      <c r="L143" s="71">
        <f t="shared" ref="L143:N143" si="109">K143*(1+L144)</f>
        <v>110.86922382290646</v>
      </c>
      <c r="M143" s="71">
        <f t="shared" si="109"/>
        <v>106.98880098910473</v>
      </c>
      <c r="N143" s="71">
        <f t="shared" si="109"/>
        <v>103.24419295448607</v>
      </c>
      <c r="O143" s="10"/>
      <c r="P143" s="10"/>
      <c r="Q143" s="10"/>
      <c r="R143" s="10"/>
      <c r="S143" s="10"/>
      <c r="T143" s="10"/>
      <c r="U143" s="4"/>
      <c r="V143" s="4"/>
      <c r="W143" s="4"/>
      <c r="X143" s="5"/>
      <c r="Y143" s="5"/>
    </row>
    <row r="144" spans="1:26" s="1" customFormat="1" ht="18" customHeight="1">
      <c r="A144" s="153"/>
      <c r="B144" s="64" t="s">
        <v>92</v>
      </c>
      <c r="C144" s="79">
        <f>(C143-821)/821</f>
        <v>-0.77296467722289897</v>
      </c>
      <c r="D144" s="79">
        <f>(D143-C143)/C143</f>
        <v>-0.50086911736303319</v>
      </c>
      <c r="E144" s="79">
        <f>(E143-D143)/D143</f>
        <v>-0.94450535276667091</v>
      </c>
      <c r="F144" s="79">
        <f>(F143-E143)/E143</f>
        <v>8.65465814448957</v>
      </c>
      <c r="G144" s="79">
        <f>(G143-F143)/F143</f>
        <v>2.4817140449776467</v>
      </c>
      <c r="H144" s="79">
        <f>(H143-G143)/G143</f>
        <v>-0.25937897933195997</v>
      </c>
      <c r="I144" s="156">
        <f>I133</f>
        <v>-0.05</v>
      </c>
      <c r="J144" s="79">
        <f>J133</f>
        <v>-2.5000000000000001E-2</v>
      </c>
      <c r="K144" s="79">
        <f t="shared" ref="K144:N144" si="110">K133</f>
        <v>-3.5000000000000003E-2</v>
      </c>
      <c r="L144" s="79">
        <f t="shared" si="110"/>
        <v>-3.5000000000000003E-2</v>
      </c>
      <c r="M144" s="79">
        <f t="shared" si="110"/>
        <v>-3.5000000000000003E-2</v>
      </c>
      <c r="N144" s="79">
        <f t="shared" si="110"/>
        <v>-3.5000000000000003E-2</v>
      </c>
      <c r="O144" s="2"/>
      <c r="P144" s="2"/>
      <c r="Q144" s="2"/>
      <c r="R144" s="2"/>
      <c r="S144" s="2"/>
      <c r="T144" s="2"/>
      <c r="U144" s="4"/>
      <c r="V144" s="4"/>
      <c r="W144" s="4"/>
    </row>
    <row r="145" spans="1:26" s="1" customFormat="1" ht="22" customHeight="1">
      <c r="A145" s="64"/>
      <c r="B145" s="66" t="s">
        <v>78</v>
      </c>
      <c r="C145" s="64">
        <f>C143/C142</f>
        <v>1.0822923115596472</v>
      </c>
      <c r="D145" s="64">
        <f t="shared" ref="D145:G145" si="111">D143/D142</f>
        <v>9.6417756387536524E-2</v>
      </c>
      <c r="E145" s="64">
        <f t="shared" si="111"/>
        <v>9.0146245390546626E-3</v>
      </c>
      <c r="F145" s="64">
        <f t="shared" si="111"/>
        <v>1.820569103612495E-2</v>
      </c>
      <c r="G145" s="64">
        <f t="shared" si="111"/>
        <v>4.7286424630474728E-2</v>
      </c>
      <c r="H145" s="64">
        <f>H143/H142</f>
        <v>3.1830428559400582E-2</v>
      </c>
      <c r="I145" s="64">
        <f>I143/I142</f>
        <v>3.4736487657548429E-2</v>
      </c>
      <c r="J145" s="64">
        <f>J143/J142</f>
        <v>3.2905780875596556E-2</v>
      </c>
      <c r="K145" s="64">
        <f t="shared" ref="K145:N145" si="112">K143/K142</f>
        <v>3.2905780875596549E-2</v>
      </c>
      <c r="L145" s="64">
        <f t="shared" si="112"/>
        <v>3.2905780875596549E-2</v>
      </c>
      <c r="M145" s="64">
        <f t="shared" si="112"/>
        <v>3.2905780875596549E-2</v>
      </c>
      <c r="N145" s="64">
        <f t="shared" si="112"/>
        <v>3.2905780875596549E-2</v>
      </c>
      <c r="U145" s="5"/>
      <c r="V145" s="5"/>
      <c r="W145" s="5"/>
    </row>
    <row r="146" spans="1:26" s="1" customFormat="1" ht="22" customHeight="1">
      <c r="A146" s="136"/>
      <c r="B146" s="66" t="s">
        <v>88</v>
      </c>
      <c r="C146" s="71">
        <v>565.67100000000005</v>
      </c>
      <c r="D146" s="71">
        <v>1057.962</v>
      </c>
      <c r="E146" s="71">
        <v>567.57299999999998</v>
      </c>
      <c r="F146" s="71">
        <v>2787.837</v>
      </c>
      <c r="G146" s="71">
        <v>3496.6970000000001</v>
      </c>
      <c r="H146" s="178">
        <v>3909.643</v>
      </c>
      <c r="I146" s="71">
        <f>I142-I143</f>
        <v>3393.2179166666665</v>
      </c>
      <c r="J146" s="71">
        <f t="shared" ref="J146:N146" si="113">J142-J143</f>
        <v>3499.0727037499996</v>
      </c>
      <c r="K146" s="71">
        <f t="shared" si="113"/>
        <v>3376.6051591187497</v>
      </c>
      <c r="L146" s="71">
        <f t="shared" si="113"/>
        <v>3258.4239785495934</v>
      </c>
      <c r="M146" s="71">
        <f t="shared" si="113"/>
        <v>3144.3791393003576</v>
      </c>
      <c r="N146" s="71">
        <f t="shared" si="113"/>
        <v>3034.3258694248448</v>
      </c>
      <c r="U146" s="5"/>
      <c r="V146" s="5"/>
      <c r="W146" s="5"/>
    </row>
    <row r="147" spans="1:26" ht="22" customHeight="1">
      <c r="A147" s="136"/>
      <c r="B147" s="64" t="s">
        <v>79</v>
      </c>
      <c r="C147" s="64">
        <f>(C146-1296)/1296</f>
        <v>-0.56352546296296291</v>
      </c>
      <c r="D147" s="64">
        <f>(D146-C146)/C146</f>
        <v>0.87027795308580413</v>
      </c>
      <c r="E147" s="64">
        <f t="shared" ref="E147:H147" si="114">(E146-D146)/D146</f>
        <v>-0.4635223193271592</v>
      </c>
      <c r="F147" s="64">
        <f t="shared" si="114"/>
        <v>3.9118562722328232</v>
      </c>
      <c r="G147" s="64">
        <f t="shared" si="114"/>
        <v>0.25426881126837764</v>
      </c>
      <c r="H147" s="64">
        <f t="shared" si="114"/>
        <v>0.11809602033004286</v>
      </c>
      <c r="I147" s="64">
        <f>(I146-H146)/H146</f>
        <v>-0.13209008682719459</v>
      </c>
      <c r="J147" s="64">
        <f>(J146-I146)/I146</f>
        <v>3.1195988493223494E-2</v>
      </c>
      <c r="K147" s="64">
        <f>(K146-J146)/J146</f>
        <v>-3.4999999999999976E-2</v>
      </c>
      <c r="L147" s="64">
        <f t="shared" ref="L147:N147" si="115">(L146-K146)/K146</f>
        <v>-3.5000000000000038E-2</v>
      </c>
      <c r="M147" s="64">
        <f t="shared" si="115"/>
        <v>-3.500000000000001E-2</v>
      </c>
      <c r="N147" s="64">
        <f t="shared" si="115"/>
        <v>-3.5000000000000087E-2</v>
      </c>
      <c r="O147" s="1"/>
      <c r="P147" s="1"/>
      <c r="Q147" s="1"/>
      <c r="R147" s="1"/>
      <c r="S147" s="1"/>
      <c r="T147" s="1"/>
      <c r="U147" s="4"/>
      <c r="V147" s="4"/>
      <c r="W147" s="4"/>
      <c r="X147" s="1"/>
      <c r="Y147" s="1"/>
      <c r="Z147" s="1"/>
    </row>
    <row r="148" spans="1:26" ht="22" customHeight="1">
      <c r="A148" s="65"/>
      <c r="B148" s="65"/>
      <c r="C148" s="65"/>
      <c r="D148" s="65"/>
      <c r="E148" s="65"/>
      <c r="F148" s="65"/>
      <c r="G148" s="65"/>
      <c r="H148" s="65"/>
      <c r="I148" s="64"/>
      <c r="J148" s="65"/>
      <c r="K148" s="65"/>
      <c r="L148" s="65"/>
      <c r="M148" s="65"/>
      <c r="N148" s="65"/>
      <c r="O148" s="1"/>
      <c r="P148" s="1"/>
      <c r="Q148" s="1"/>
      <c r="R148" s="1"/>
      <c r="S148" s="1"/>
      <c r="T148" s="1"/>
      <c r="U148" s="1"/>
      <c r="V148" s="1"/>
      <c r="W148" s="1"/>
      <c r="X148" s="4"/>
      <c r="Y148" s="4"/>
      <c r="Z148" s="1"/>
    </row>
    <row r="149" spans="1:26" ht="22" customHeight="1">
      <c r="A149" s="54"/>
      <c r="B149" s="54" t="s">
        <v>105</v>
      </c>
      <c r="C149" s="71">
        <f>C143</f>
        <v>186.39599999999999</v>
      </c>
      <c r="D149" s="71">
        <f>D143</f>
        <v>93.036000000000058</v>
      </c>
      <c r="E149" s="71">
        <f t="shared" ref="E149:N149" si="116">E143</f>
        <v>5.1630000000000109</v>
      </c>
      <c r="F149" s="71">
        <f t="shared" si="116"/>
        <v>49.846999999999753</v>
      </c>
      <c r="G149" s="71">
        <f t="shared" si="116"/>
        <v>173.55299999999988</v>
      </c>
      <c r="H149" s="71">
        <f t="shared" si="116"/>
        <v>128.53700000000026</v>
      </c>
      <c r="I149" s="71">
        <f t="shared" si="116"/>
        <v>122.11015000000025</v>
      </c>
      <c r="J149" s="71">
        <f t="shared" si="116"/>
        <v>119.05739625000024</v>
      </c>
      <c r="K149" s="71">
        <f t="shared" si="116"/>
        <v>114.89038738125022</v>
      </c>
      <c r="L149" s="71">
        <f t="shared" si="116"/>
        <v>110.86922382290646</v>
      </c>
      <c r="M149" s="71">
        <f t="shared" si="116"/>
        <v>106.98880098910473</v>
      </c>
      <c r="N149" s="71">
        <f t="shared" si="116"/>
        <v>103.24419295448607</v>
      </c>
      <c r="O149" s="1"/>
      <c r="P149" s="1"/>
      <c r="Q149" s="1"/>
      <c r="R149" s="1"/>
      <c r="S149" s="1"/>
      <c r="T149" s="1"/>
      <c r="U149" s="5"/>
      <c r="V149" s="5"/>
      <c r="W149" s="5"/>
      <c r="X149" s="1"/>
      <c r="Y149" s="1"/>
      <c r="Z149" s="1"/>
    </row>
    <row r="150" spans="1:26" ht="22" customHeight="1">
      <c r="A150" s="54"/>
      <c r="B150" s="54" t="s">
        <v>151</v>
      </c>
      <c r="C150" s="72">
        <f>C163/C176</f>
        <v>5.5769503108711239E-2</v>
      </c>
      <c r="D150" s="72">
        <f t="shared" ref="D150:N150" si="117">D163/D176</f>
        <v>5.4922482636953131E-2</v>
      </c>
      <c r="E150" s="72">
        <f t="shared" si="117"/>
        <v>6.4157436315401148E-2</v>
      </c>
      <c r="F150" s="72">
        <f t="shared" si="117"/>
        <v>5.6176272962183957E-2</v>
      </c>
      <c r="G150" s="72">
        <f t="shared" si="117"/>
        <v>5.4146496207224379E-2</v>
      </c>
      <c r="H150" s="72">
        <f t="shared" si="117"/>
        <v>4.230566395240605E-2</v>
      </c>
      <c r="I150" s="72">
        <f t="shared" si="117"/>
        <v>4.5771385962749746E-2</v>
      </c>
      <c r="J150" s="72">
        <f t="shared" si="117"/>
        <v>4.3595092556359148E-2</v>
      </c>
      <c r="K150" s="72">
        <f t="shared" si="117"/>
        <v>4.3595092556359141E-2</v>
      </c>
      <c r="L150" s="72">
        <f t="shared" si="117"/>
        <v>4.3595092556359148E-2</v>
      </c>
      <c r="M150" s="72">
        <f t="shared" si="117"/>
        <v>4.3595092556359148E-2</v>
      </c>
      <c r="N150" s="72">
        <f t="shared" si="117"/>
        <v>4.3595092556359155E-2</v>
      </c>
      <c r="O150" s="1"/>
      <c r="P150" s="1"/>
      <c r="Q150" s="1"/>
      <c r="R150" s="1"/>
      <c r="S150" s="1"/>
      <c r="T150" s="1"/>
      <c r="U150" s="5"/>
      <c r="V150" s="5"/>
      <c r="W150" s="5"/>
      <c r="X150" s="1"/>
      <c r="Y150" s="1"/>
      <c r="Z150" s="1"/>
    </row>
    <row r="151" spans="1:26" ht="22" customHeight="1">
      <c r="A151" s="54"/>
      <c r="B151" s="54" t="s">
        <v>127</v>
      </c>
      <c r="C151" s="87">
        <f>C149*C150</f>
        <v>10.395212301451339</v>
      </c>
      <c r="D151" s="87">
        <f t="shared" ref="D151:N151" si="118">D149*D150</f>
        <v>5.1097680946115744</v>
      </c>
      <c r="E151" s="87">
        <f t="shared" si="118"/>
        <v>0.33124484369641682</v>
      </c>
      <c r="F151" s="87">
        <f t="shared" si="118"/>
        <v>2.8002186783459697</v>
      </c>
      <c r="G151" s="87">
        <f t="shared" si="118"/>
        <v>9.397286856252407</v>
      </c>
      <c r="H151" s="87">
        <f t="shared" si="118"/>
        <v>5.437843127450428</v>
      </c>
      <c r="I151" s="87">
        <f t="shared" si="118"/>
        <v>5.5891508056192771</v>
      </c>
      <c r="J151" s="87">
        <f t="shared" si="118"/>
        <v>5.190318209037887</v>
      </c>
      <c r="K151" s="87">
        <f t="shared" si="118"/>
        <v>5.0086570717215597</v>
      </c>
      <c r="L151" s="87">
        <f t="shared" si="118"/>
        <v>4.8333540742113055</v>
      </c>
      <c r="M151" s="87">
        <f t="shared" si="118"/>
        <v>4.6641866816139101</v>
      </c>
      <c r="N151" s="87">
        <f t="shared" si="118"/>
        <v>4.500940147757424</v>
      </c>
      <c r="O151" s="1"/>
      <c r="P151" s="1"/>
      <c r="Q151" s="1"/>
      <c r="R151" s="1"/>
      <c r="S151" s="1"/>
      <c r="T151" s="1"/>
      <c r="U151" s="5"/>
      <c r="V151" s="5"/>
      <c r="W151" s="5"/>
      <c r="X151" s="1"/>
      <c r="Y151" s="1"/>
      <c r="Z151" s="1"/>
    </row>
    <row r="152" spans="1:26" ht="22" customHeight="1">
      <c r="A152" s="54"/>
      <c r="B152" s="54" t="s">
        <v>152</v>
      </c>
      <c r="C152" s="72">
        <f>C168/C176</f>
        <v>6.1342798799457282E-2</v>
      </c>
      <c r="D152" s="72">
        <f t="shared" ref="D152:N152" si="119">D168/D176</f>
        <v>5.6566902964334004E-2</v>
      </c>
      <c r="E152" s="72">
        <f t="shared" si="119"/>
        <v>7.3207411597210781E-2</v>
      </c>
      <c r="F152" s="72">
        <f t="shared" si="119"/>
        <v>5.1264757298701273E-2</v>
      </c>
      <c r="G152" s="72">
        <f t="shared" si="119"/>
        <v>6.610084964538443E-2</v>
      </c>
      <c r="H152" s="72">
        <f t="shared" si="119"/>
        <v>7.2564466397997379E-2</v>
      </c>
      <c r="I152" s="72">
        <f t="shared" si="119"/>
        <v>7.8509019558711507E-2</v>
      </c>
      <c r="J152" s="72">
        <f t="shared" si="119"/>
        <v>7.4776148945030194E-2</v>
      </c>
      <c r="K152" s="72">
        <f t="shared" si="119"/>
        <v>7.4776148945030194E-2</v>
      </c>
      <c r="L152" s="72">
        <f t="shared" si="119"/>
        <v>7.4776148945030207E-2</v>
      </c>
      <c r="M152" s="72">
        <f t="shared" si="119"/>
        <v>7.4776148945030194E-2</v>
      </c>
      <c r="N152" s="72">
        <f t="shared" si="119"/>
        <v>7.4776148945030207E-2</v>
      </c>
      <c r="O152" s="1"/>
      <c r="P152" s="1"/>
      <c r="Q152" s="1"/>
      <c r="R152" s="1"/>
      <c r="S152" s="1"/>
      <c r="T152" s="1"/>
      <c r="U152" s="5"/>
      <c r="V152" s="5"/>
      <c r="W152" s="5"/>
      <c r="X152" s="1"/>
      <c r="Y152" s="1"/>
      <c r="Z152" s="1"/>
    </row>
    <row r="153" spans="1:26" ht="22" customHeight="1">
      <c r="A153" s="54"/>
      <c r="B153" s="54" t="s">
        <v>128</v>
      </c>
      <c r="C153" s="71">
        <f>C149*C152</f>
        <v>11.434052325023639</v>
      </c>
      <c r="D153" s="71">
        <f t="shared" ref="D153:N153" si="120">D149*D152</f>
        <v>5.262758384189782</v>
      </c>
      <c r="E153" s="71">
        <f t="shared" si="120"/>
        <v>0.37796986607640004</v>
      </c>
      <c r="F153" s="71">
        <f t="shared" si="120"/>
        <v>2.5553943570683497</v>
      </c>
      <c r="G153" s="71">
        <f t="shared" si="120"/>
        <v>11.472000758505397</v>
      </c>
      <c r="H153" s="71">
        <f t="shared" si="120"/>
        <v>9.3272188173994088</v>
      </c>
      <c r="I153" s="71">
        <f t="shared" si="120"/>
        <v>9.586748154667216</v>
      </c>
      <c r="J153" s="71">
        <f t="shared" si="120"/>
        <v>8.9026535949974974</v>
      </c>
      <c r="K153" s="71">
        <f t="shared" si="120"/>
        <v>8.5910607191725834</v>
      </c>
      <c r="L153" s="71">
        <f t="shared" si="120"/>
        <v>8.2903735940015455</v>
      </c>
      <c r="M153" s="71">
        <f t="shared" si="120"/>
        <v>8.0002105182114889</v>
      </c>
      <c r="N153" s="71">
        <f t="shared" si="120"/>
        <v>7.7202031500740889</v>
      </c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2" customHeight="1">
      <c r="A154" s="54"/>
      <c r="B154" s="54" t="s">
        <v>155</v>
      </c>
      <c r="C154" s="72">
        <f>C173/C176</f>
        <v>2.1507439436092114E-2</v>
      </c>
      <c r="D154" s="72">
        <f t="shared" ref="D154:N154" si="121">D173/D176</f>
        <v>1.4711408775142246E-2</v>
      </c>
      <c r="E154" s="72">
        <f t="shared" si="121"/>
        <v>2.0029899360593122E-2</v>
      </c>
      <c r="F154" s="72">
        <f t="shared" si="121"/>
        <v>8.5441790659526919E-3</v>
      </c>
      <c r="G154" s="72">
        <f t="shared" si="121"/>
        <v>1.0443060632699416E-2</v>
      </c>
      <c r="H154" s="72">
        <f t="shared" si="121"/>
        <v>8.8707484944785045E-3</v>
      </c>
      <c r="I154" s="72">
        <f t="shared" si="121"/>
        <v>9.5974490218623514E-3</v>
      </c>
      <c r="J154" s="72">
        <f t="shared" si="121"/>
        <v>9.1411188368544661E-3</v>
      </c>
      <c r="K154" s="72">
        <f t="shared" si="121"/>
        <v>9.1411188368544661E-3</v>
      </c>
      <c r="L154" s="72">
        <f t="shared" si="121"/>
        <v>9.1411188368544661E-3</v>
      </c>
      <c r="M154" s="72">
        <f t="shared" si="121"/>
        <v>9.1411188368544661E-3</v>
      </c>
      <c r="N154" s="72">
        <f t="shared" si="121"/>
        <v>9.1411188368544661E-3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2" customHeight="1">
      <c r="A155" s="66"/>
      <c r="B155" s="66" t="s">
        <v>153</v>
      </c>
      <c r="C155" s="71">
        <f>C149*C154</f>
        <v>4.0089006811298251</v>
      </c>
      <c r="D155" s="71">
        <f t="shared" ref="D155:N155" si="122">D149*D154</f>
        <v>1.3686906268041348</v>
      </c>
      <c r="E155" s="71">
        <f t="shared" si="122"/>
        <v>0.1034143703987425</v>
      </c>
      <c r="F155" s="71">
        <f t="shared" si="122"/>
        <v>0.42590169390054172</v>
      </c>
      <c r="G155" s="71">
        <f t="shared" si="122"/>
        <v>1.8124245019868805</v>
      </c>
      <c r="H155" s="71">
        <f t="shared" si="122"/>
        <v>1.1402193992347858</v>
      </c>
      <c r="I155" s="71">
        <f t="shared" si="122"/>
        <v>1.1719459396769674</v>
      </c>
      <c r="J155" s="71">
        <f t="shared" si="122"/>
        <v>1.0883178075277236</v>
      </c>
      <c r="K155" s="71">
        <f t="shared" si="122"/>
        <v>1.0502266842642531</v>
      </c>
      <c r="L155" s="71">
        <f t="shared" si="122"/>
        <v>1.0134687503150042</v>
      </c>
      <c r="M155" s="71">
        <f t="shared" si="122"/>
        <v>0.97799734405397898</v>
      </c>
      <c r="N155" s="71">
        <f t="shared" si="122"/>
        <v>0.94376743701208976</v>
      </c>
      <c r="O155" s="1"/>
      <c r="P155" s="1"/>
      <c r="Q155" s="1"/>
      <c r="R155" s="1"/>
      <c r="S155" s="1"/>
      <c r="T155" s="1"/>
      <c r="U155" s="1"/>
      <c r="V155" s="1"/>
      <c r="W155" s="1"/>
      <c r="X155" s="10"/>
      <c r="Y155" s="10"/>
      <c r="Z155" s="1"/>
    </row>
    <row r="156" spans="1:26" ht="22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1"/>
      <c r="P156" s="1"/>
      <c r="Q156" s="1"/>
      <c r="R156" s="1"/>
      <c r="S156" s="1"/>
      <c r="T156" s="1"/>
      <c r="U156" s="1"/>
      <c r="V156" s="1"/>
      <c r="W156" s="1"/>
      <c r="X156" s="10"/>
      <c r="Y156" s="10"/>
    </row>
    <row r="157" spans="1:26" ht="22" customHeight="1">
      <c r="A157" s="136" t="s">
        <v>81</v>
      </c>
      <c r="B157" s="64" t="s">
        <v>80</v>
      </c>
      <c r="C157" s="79">
        <f>C142/C141</f>
        <v>0.22900000000000001</v>
      </c>
      <c r="D157" s="79">
        <f t="shared" ref="D157:N157" si="123">D142/D141</f>
        <v>0.214</v>
      </c>
      <c r="E157" s="79">
        <f t="shared" si="123"/>
        <v>0.22800000000000001</v>
      </c>
      <c r="F157" s="79">
        <f t="shared" si="123"/>
        <v>0.22600000000000001</v>
      </c>
      <c r="G157" s="79">
        <f t="shared" si="123"/>
        <v>0.25</v>
      </c>
      <c r="H157" s="79">
        <f>H142/H141</f>
        <v>0.255</v>
      </c>
      <c r="I157" s="79">
        <f t="shared" si="123"/>
        <v>0.23366666666666669</v>
      </c>
      <c r="J157" s="79">
        <f t="shared" si="123"/>
        <v>0.24666666666666667</v>
      </c>
      <c r="K157" s="79">
        <f t="shared" si="123"/>
        <v>0.24666666666666667</v>
      </c>
      <c r="L157" s="79">
        <f t="shared" si="123"/>
        <v>0.24666666666666667</v>
      </c>
      <c r="M157" s="79">
        <f t="shared" si="123"/>
        <v>0.2466666666666667</v>
      </c>
      <c r="N157" s="79">
        <f t="shared" si="123"/>
        <v>0.2466666666666667</v>
      </c>
      <c r="U157" s="1"/>
      <c r="V157" s="1"/>
      <c r="W157" s="1"/>
      <c r="X157" s="2"/>
      <c r="Y157" s="2"/>
    </row>
    <row r="158" spans="1:26" ht="22" customHeight="1">
      <c r="A158" s="64"/>
      <c r="B158" s="54" t="s">
        <v>104</v>
      </c>
      <c r="C158" s="150">
        <f t="shared" ref="C158:N158" si="124">C146/C142</f>
        <v>3.284519915514589</v>
      </c>
      <c r="D158" s="150">
        <f t="shared" si="124"/>
        <v>1.0964177563875366</v>
      </c>
      <c r="E158" s="150">
        <f t="shared" si="124"/>
        <v>0.99098537546094534</v>
      </c>
      <c r="F158" s="150">
        <f t="shared" si="124"/>
        <v>1.018205691036125</v>
      </c>
      <c r="G158" s="150">
        <f t="shared" si="124"/>
        <v>0.95271357536952528</v>
      </c>
      <c r="H158" s="150">
        <f t="shared" si="124"/>
        <v>0.96816957144059945</v>
      </c>
      <c r="I158" s="150">
        <f t="shared" si="124"/>
        <v>0.96526351234245156</v>
      </c>
      <c r="J158" s="150">
        <f t="shared" si="124"/>
        <v>0.96709421912440341</v>
      </c>
      <c r="K158" s="150">
        <f t="shared" si="124"/>
        <v>0.96709421912440352</v>
      </c>
      <c r="L158" s="150">
        <f t="shared" si="124"/>
        <v>0.96709421912440352</v>
      </c>
      <c r="M158" s="150">
        <f t="shared" si="124"/>
        <v>0.96709421912440352</v>
      </c>
      <c r="N158" s="150">
        <f t="shared" si="124"/>
        <v>0.96709421912440341</v>
      </c>
      <c r="U158" s="4"/>
      <c r="V158" s="4"/>
      <c r="W158" s="4"/>
      <c r="X158" s="1"/>
      <c r="Y158" s="1"/>
    </row>
    <row r="159" spans="1:26" ht="22" customHeight="1">
      <c r="A159" s="65"/>
      <c r="B159" s="54" t="s">
        <v>106</v>
      </c>
      <c r="C159" s="72">
        <f>1-C158</f>
        <v>-2.284519915514589</v>
      </c>
      <c r="D159" s="72">
        <f>1-D158</f>
        <v>-9.641775638753658E-2</v>
      </c>
      <c r="E159" s="72">
        <f t="shared" ref="E159:N159" si="125">1-E158</f>
        <v>9.0146245390546609E-3</v>
      </c>
      <c r="F159" s="72">
        <f t="shared" si="125"/>
        <v>-1.8205691036125016E-2</v>
      </c>
      <c r="G159" s="72">
        <f t="shared" si="125"/>
        <v>4.7286424630474722E-2</v>
      </c>
      <c r="H159" s="72">
        <f t="shared" si="125"/>
        <v>3.1830428559400548E-2</v>
      </c>
      <c r="I159" s="72">
        <f t="shared" si="125"/>
        <v>3.4736487657548443E-2</v>
      </c>
      <c r="J159" s="72">
        <f t="shared" si="125"/>
        <v>3.2905780875596591E-2</v>
      </c>
      <c r="K159" s="72">
        <f t="shared" si="125"/>
        <v>3.290578087559648E-2</v>
      </c>
      <c r="L159" s="72">
        <f t="shared" si="125"/>
        <v>3.290578087559648E-2</v>
      </c>
      <c r="M159" s="72">
        <f t="shared" si="125"/>
        <v>3.290578087559648E-2</v>
      </c>
      <c r="N159" s="72">
        <f t="shared" si="125"/>
        <v>3.2905780875596591E-2</v>
      </c>
      <c r="U159" s="1"/>
      <c r="V159" s="1"/>
      <c r="W159" s="1"/>
      <c r="X159" s="1"/>
      <c r="Y159" s="1"/>
    </row>
    <row r="160" spans="1:26" ht="22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U160" s="1"/>
      <c r="V160" s="1"/>
      <c r="W160" s="1"/>
      <c r="X160" s="1"/>
      <c r="Y160" s="1"/>
    </row>
    <row r="161" spans="1:25" ht="22" customHeight="1">
      <c r="A161" s="54" t="s">
        <v>95</v>
      </c>
      <c r="B161" s="164"/>
      <c r="C161" s="72"/>
      <c r="D161" s="72"/>
      <c r="E161" s="72"/>
      <c r="F161" s="72"/>
      <c r="G161" s="72"/>
      <c r="H161" s="72"/>
      <c r="I161" s="79"/>
      <c r="J161" s="79"/>
      <c r="K161" s="79"/>
      <c r="L161" s="79"/>
      <c r="M161" s="79"/>
      <c r="N161" s="79"/>
      <c r="U161" s="1"/>
      <c r="V161" s="1"/>
      <c r="W161" s="1"/>
      <c r="X161" s="1"/>
      <c r="Y161" s="1"/>
    </row>
    <row r="162" spans="1:25" ht="22" customHeight="1">
      <c r="A162" s="54"/>
      <c r="B162" s="164" t="s">
        <v>134</v>
      </c>
      <c r="C162" s="191">
        <f>C163-C151</f>
        <v>26.228787698548665</v>
      </c>
      <c r="D162" s="191">
        <f t="shared" ref="D162:N162" si="126">D163-D151</f>
        <v>61.38823190538843</v>
      </c>
      <c r="E162" s="191">
        <f t="shared" si="126"/>
        <v>42.884755156303584</v>
      </c>
      <c r="F162" s="191">
        <f t="shared" si="126"/>
        <v>174.35778132165402</v>
      </c>
      <c r="G162" s="191">
        <f t="shared" si="126"/>
        <v>208.40071314374759</v>
      </c>
      <c r="H162" s="191">
        <f t="shared" si="126"/>
        <v>183.31915687254957</v>
      </c>
      <c r="I162" s="191">
        <f t="shared" si="126"/>
        <v>173.72999919438072</v>
      </c>
      <c r="J162" s="191">
        <f t="shared" si="126"/>
        <v>169.64585304096212</v>
      </c>
      <c r="K162" s="191">
        <f t="shared" si="126"/>
        <v>163.70824818452843</v>
      </c>
      <c r="L162" s="191">
        <f t="shared" si="126"/>
        <v>157.97845949806992</v>
      </c>
      <c r="M162" s="191">
        <f t="shared" si="126"/>
        <v>152.4492134156375</v>
      </c>
      <c r="N162" s="191">
        <f t="shared" si="126"/>
        <v>147.11349094609017</v>
      </c>
      <c r="U162" s="1"/>
      <c r="V162" s="1"/>
      <c r="W162" s="1"/>
      <c r="X162" s="1"/>
      <c r="Y162" s="1"/>
    </row>
    <row r="163" spans="1:25" ht="22" customHeight="1">
      <c r="A163" s="54"/>
      <c r="B163" s="54" t="s">
        <v>133</v>
      </c>
      <c r="C163" s="77">
        <v>36.624000000000002</v>
      </c>
      <c r="D163" s="77">
        <v>66.498000000000005</v>
      </c>
      <c r="E163" s="77">
        <v>43.216000000000001</v>
      </c>
      <c r="F163" s="77">
        <v>177.15799999999999</v>
      </c>
      <c r="G163" s="77">
        <v>217.798</v>
      </c>
      <c r="H163" s="77">
        <v>188.75700000000001</v>
      </c>
      <c r="I163" s="77">
        <f t="shared" ref="I163:N163" si="127">H163*(1+I133)</f>
        <v>179.31915000000001</v>
      </c>
      <c r="J163" s="77">
        <f t="shared" si="127"/>
        <v>174.83617125000001</v>
      </c>
      <c r="K163" s="77">
        <f t="shared" si="127"/>
        <v>168.71690525624999</v>
      </c>
      <c r="L163" s="77">
        <f t="shared" si="127"/>
        <v>162.81181357228124</v>
      </c>
      <c r="M163" s="77">
        <f t="shared" si="127"/>
        <v>157.1134000972514</v>
      </c>
      <c r="N163" s="77">
        <f t="shared" si="127"/>
        <v>151.6144310938476</v>
      </c>
      <c r="U163" s="10"/>
      <c r="V163" s="10"/>
      <c r="W163" s="10"/>
      <c r="X163" s="1"/>
      <c r="Y163" s="1"/>
    </row>
    <row r="164" spans="1:25" ht="22" customHeight="1">
      <c r="A164" s="54"/>
      <c r="B164" s="66" t="s">
        <v>147</v>
      </c>
      <c r="C164" s="175">
        <f>(C163-142.306)/142.306</f>
        <v>-0.7426391016541819</v>
      </c>
      <c r="D164" s="175">
        <f>(D162-C162)/C162</f>
        <v>1.3404906323133365</v>
      </c>
      <c r="E164" s="175">
        <f t="shared" ref="E164:N164" si="128">(E162-D162)/D162</f>
        <v>-0.30141732665639259</v>
      </c>
      <c r="F164" s="175">
        <f t="shared" si="128"/>
        <v>3.065728734748888</v>
      </c>
      <c r="G164" s="175">
        <f t="shared" si="128"/>
        <v>0.19524756259252585</v>
      </c>
      <c r="H164" s="175">
        <f t="shared" si="128"/>
        <v>-0.1203525453096585</v>
      </c>
      <c r="I164" s="175">
        <f t="shared" si="128"/>
        <v>-5.2308541244467932E-2</v>
      </c>
      <c r="J164" s="175">
        <f>(J162-I162)/I162</f>
        <v>-2.3508583274952907E-2</v>
      </c>
      <c r="K164" s="175">
        <f>(K162-J162)/J162</f>
        <v>-3.5000000000000114E-2</v>
      </c>
      <c r="L164" s="175">
        <f t="shared" si="128"/>
        <v>-3.5000000000000066E-2</v>
      </c>
      <c r="M164" s="175">
        <f t="shared" si="128"/>
        <v>-3.4999999999999844E-2</v>
      </c>
      <c r="N164" s="175">
        <f t="shared" si="128"/>
        <v>-3.5000000000000149E-2</v>
      </c>
      <c r="U164" s="10"/>
      <c r="V164" s="10"/>
      <c r="W164" s="10"/>
      <c r="X164" s="1"/>
      <c r="Y164" s="1"/>
    </row>
    <row r="165" spans="1:25" ht="22" customHeight="1">
      <c r="A165" s="179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U165" s="2"/>
      <c r="V165" s="2"/>
      <c r="W165" s="2"/>
      <c r="X165" s="1"/>
      <c r="Y165" s="1"/>
    </row>
    <row r="166" spans="1:25" ht="22" customHeight="1">
      <c r="A166" s="64" t="s">
        <v>103</v>
      </c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U166" s="1"/>
      <c r="V166" s="1"/>
      <c r="W166" s="1"/>
      <c r="X166" s="1"/>
      <c r="Y166" s="1"/>
    </row>
    <row r="167" spans="1:25" ht="22" customHeight="1">
      <c r="A167" s="64"/>
      <c r="B167" s="67" t="s">
        <v>137</v>
      </c>
      <c r="C167" s="67">
        <f>C168-C153</f>
        <v>28.849947674976359</v>
      </c>
      <c r="D167" s="67">
        <f t="shared" ref="D167:N167" si="129">D168-D153</f>
        <v>63.226241615810224</v>
      </c>
      <c r="E167" s="67">
        <f t="shared" si="129"/>
        <v>48.934030133923599</v>
      </c>
      <c r="F167" s="67">
        <f t="shared" si="129"/>
        <v>159.11360564293167</v>
      </c>
      <c r="G167" s="67">
        <f t="shared" si="129"/>
        <v>254.41099924149458</v>
      </c>
      <c r="H167" s="67">
        <f t="shared" si="129"/>
        <v>314.43678118260061</v>
      </c>
      <c r="I167" s="67">
        <f t="shared" si="129"/>
        <v>297.98905184533282</v>
      </c>
      <c r="J167" s="67">
        <f t="shared" si="129"/>
        <v>290.98375140500252</v>
      </c>
      <c r="K167" s="67">
        <f t="shared" si="129"/>
        <v>280.79932010582746</v>
      </c>
      <c r="L167" s="67">
        <f t="shared" si="129"/>
        <v>270.97134390212346</v>
      </c>
      <c r="M167" s="67">
        <f t="shared" si="129"/>
        <v>261.48734686554917</v>
      </c>
      <c r="N167" s="67">
        <f t="shared" si="129"/>
        <v>252.33528972525494</v>
      </c>
      <c r="U167" s="1"/>
      <c r="V167" s="1"/>
      <c r="W167" s="1"/>
      <c r="X167" s="1"/>
      <c r="Y167" s="1"/>
    </row>
    <row r="168" spans="1:25" ht="22" customHeight="1">
      <c r="A168" s="67"/>
      <c r="B168" s="67" t="s">
        <v>109</v>
      </c>
      <c r="C168" s="77">
        <v>40.283999999999999</v>
      </c>
      <c r="D168" s="77">
        <v>68.489000000000004</v>
      </c>
      <c r="E168" s="77">
        <v>49.311999999999998</v>
      </c>
      <c r="F168" s="77">
        <v>161.66900000000001</v>
      </c>
      <c r="G168" s="77">
        <v>265.88299999999998</v>
      </c>
      <c r="H168" s="177">
        <v>323.76400000000001</v>
      </c>
      <c r="I168" s="71">
        <f>H168*(1+I133)</f>
        <v>307.57580000000002</v>
      </c>
      <c r="J168" s="71">
        <f>I168*(1+J133)</f>
        <v>299.88640500000002</v>
      </c>
      <c r="K168" s="71">
        <f>J168*(1+K133)</f>
        <v>289.39038082500002</v>
      </c>
      <c r="L168" s="71">
        <f t="shared" ref="L168:N168" si="130">K168*(1+L133)</f>
        <v>279.26171749612502</v>
      </c>
      <c r="M168" s="71">
        <f t="shared" si="130"/>
        <v>269.48755738376065</v>
      </c>
      <c r="N168" s="71">
        <f t="shared" si="130"/>
        <v>260.05549287532904</v>
      </c>
      <c r="U168" s="1"/>
      <c r="V168" s="1"/>
      <c r="W168" s="1"/>
      <c r="X168" s="1"/>
      <c r="Y168" s="1"/>
    </row>
    <row r="169" spans="1:25" ht="22" customHeight="1">
      <c r="A169" s="67"/>
      <c r="B169" s="64" t="s">
        <v>143</v>
      </c>
      <c r="C169" s="64">
        <f>(C168-127.152 )/127.152</f>
        <v>-0.68318233295583231</v>
      </c>
      <c r="D169" s="64">
        <f>(D167-C167)/C167</f>
        <v>1.1915548107094454</v>
      </c>
      <c r="E169" s="64">
        <f t="shared" ref="E169:N169" si="131">(E167-D167)/D167</f>
        <v>-0.22604872781672261</v>
      </c>
      <c r="F169" s="64">
        <f t="shared" si="131"/>
        <v>2.2515941402632582</v>
      </c>
      <c r="G169" s="64">
        <f t="shared" si="131"/>
        <v>0.59892674302423055</v>
      </c>
      <c r="H169" s="64">
        <f t="shared" si="131"/>
        <v>0.23594019959855492</v>
      </c>
      <c r="I169" s="64">
        <f t="shared" si="131"/>
        <v>-5.2308541244467884E-2</v>
      </c>
      <c r="J169" s="64">
        <f>(J167-I167)/I167</f>
        <v>-2.3508583274953029E-2</v>
      </c>
      <c r="K169" s="64">
        <f>(K167-J167)/J167</f>
        <v>-3.4999999999999899E-2</v>
      </c>
      <c r="L169" s="64">
        <f t="shared" si="131"/>
        <v>-3.5000000000000128E-2</v>
      </c>
      <c r="M169" s="64">
        <f t="shared" si="131"/>
        <v>-3.4999999999999899E-2</v>
      </c>
      <c r="N169" s="64">
        <f t="shared" si="131"/>
        <v>-3.5000000000000045E-2</v>
      </c>
      <c r="U169" s="1"/>
      <c r="V169" s="1"/>
      <c r="W169" s="1"/>
    </row>
    <row r="170" spans="1:25" ht="22" customHeight="1">
      <c r="A170" s="67"/>
      <c r="B170" s="64"/>
      <c r="C170" s="190"/>
      <c r="D170" s="64"/>
      <c r="E170" s="64"/>
      <c r="F170" s="99"/>
      <c r="G170" s="99"/>
      <c r="H170" s="99"/>
      <c r="I170" s="67"/>
      <c r="J170" s="67"/>
      <c r="K170" s="67"/>
      <c r="L170" s="174"/>
      <c r="M170" s="66"/>
      <c r="N170" s="66"/>
      <c r="U170" s="1"/>
      <c r="V170" s="1"/>
      <c r="W170" s="1"/>
    </row>
    <row r="171" spans="1:25" ht="22" customHeight="1">
      <c r="A171" s="101" t="s">
        <v>110</v>
      </c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2"/>
      <c r="M171" s="62"/>
      <c r="N171" s="89"/>
      <c r="U171" s="1"/>
      <c r="V171" s="1"/>
      <c r="W171" s="1"/>
    </row>
    <row r="172" spans="1:25" ht="22" customHeight="1">
      <c r="A172" s="101"/>
      <c r="B172" s="101" t="s">
        <v>149</v>
      </c>
      <c r="C172" s="67">
        <f>C173-C155</f>
        <v>10.115099318870175</v>
      </c>
      <c r="D172" s="67">
        <f t="shared" ref="D172:N172" si="132">D173-D155</f>
        <v>16.443309373195866</v>
      </c>
      <c r="E172" s="67">
        <f t="shared" si="132"/>
        <v>13.388585629601259</v>
      </c>
      <c r="F172" s="67">
        <f t="shared" si="132"/>
        <v>26.519098306099458</v>
      </c>
      <c r="G172" s="67">
        <f t="shared" si="132"/>
        <v>40.193575498013118</v>
      </c>
      <c r="H172" s="67">
        <f t="shared" si="132"/>
        <v>38.438780600765213</v>
      </c>
      <c r="I172" s="67">
        <f t="shared" si="132"/>
        <v>36.42810406032303</v>
      </c>
      <c r="J172" s="67">
        <f t="shared" si="132"/>
        <v>35.571730942472271</v>
      </c>
      <c r="K172" s="67">
        <f t="shared" si="132"/>
        <v>34.326720359485741</v>
      </c>
      <c r="L172" s="67">
        <f t="shared" si="132"/>
        <v>33.125285146903735</v>
      </c>
      <c r="M172" s="67">
        <f t="shared" si="132"/>
        <v>31.965900166762108</v>
      </c>
      <c r="N172" s="67">
        <f t="shared" si="132"/>
        <v>30.847093660925434</v>
      </c>
      <c r="U172" s="1"/>
      <c r="V172" s="1"/>
      <c r="W172" s="1"/>
    </row>
    <row r="173" spans="1:25" ht="22" customHeight="1">
      <c r="A173" s="54"/>
      <c r="B173" s="101" t="s">
        <v>156</v>
      </c>
      <c r="C173" s="71">
        <v>14.124000000000001</v>
      </c>
      <c r="D173" s="178">
        <v>17.812000000000001</v>
      </c>
      <c r="E173" s="178">
        <v>13.492000000000001</v>
      </c>
      <c r="F173" s="178">
        <v>26.945</v>
      </c>
      <c r="G173" s="178">
        <v>42.006</v>
      </c>
      <c r="H173" s="71">
        <v>39.579000000000001</v>
      </c>
      <c r="I173" s="71">
        <f>H173*(1+I133)</f>
        <v>37.600049999999996</v>
      </c>
      <c r="J173" s="71">
        <f>I173*(1+J133)</f>
        <v>36.660048749999994</v>
      </c>
      <c r="K173" s="71">
        <f>J173*(1+K133)</f>
        <v>35.376947043749993</v>
      </c>
      <c r="L173" s="71">
        <f t="shared" ref="L173:N173" si="133">K173*(1+L133)</f>
        <v>34.138753897218741</v>
      </c>
      <c r="M173" s="71">
        <f t="shared" si="133"/>
        <v>32.943897510816086</v>
      </c>
      <c r="N173" s="71">
        <f t="shared" si="133"/>
        <v>31.790861097937523</v>
      </c>
    </row>
    <row r="174" spans="1:25" ht="22" customHeight="1">
      <c r="A174" s="57"/>
      <c r="B174" s="101" t="s">
        <v>148</v>
      </c>
      <c r="C174" s="164">
        <f>(C173-26.158)/26.158</f>
        <v>-0.46005046257359128</v>
      </c>
      <c r="D174" s="164">
        <f>(D172-C172)/C172</f>
        <v>0.62562016000378051</v>
      </c>
      <c r="E174" s="164">
        <f t="shared" ref="E174:N174" si="134">(E172-D172)/D172</f>
        <v>-0.18577305056207802</v>
      </c>
      <c r="F174" s="164">
        <f t="shared" si="134"/>
        <v>0.98072440508335113</v>
      </c>
      <c r="G174" s="164">
        <f t="shared" si="134"/>
        <v>0.51564638563779885</v>
      </c>
      <c r="H174" s="164">
        <f t="shared" si="134"/>
        <v>-4.3658591590953366E-2</v>
      </c>
      <c r="I174" s="164">
        <f t="shared" si="134"/>
        <v>-5.2308541244468001E-2</v>
      </c>
      <c r="J174" s="164">
        <f>(J172-I172)/I172</f>
        <v>-2.3508583274953018E-2</v>
      </c>
      <c r="K174" s="164">
        <f>(K172-J172)/J172</f>
        <v>-3.5000000000000038E-2</v>
      </c>
      <c r="L174" s="164">
        <f t="shared" si="134"/>
        <v>-3.5000000000000128E-2</v>
      </c>
      <c r="M174" s="164">
        <f t="shared" si="134"/>
        <v>-3.4999999999999906E-2</v>
      </c>
      <c r="N174" s="164">
        <f t="shared" si="134"/>
        <v>-3.4999999999999983E-2</v>
      </c>
      <c r="O174" s="54"/>
    </row>
    <row r="175" spans="1:25" ht="22" customHeight="1">
      <c r="A175" s="67"/>
      <c r="B175" s="54"/>
      <c r="C175" s="54"/>
      <c r="D175" s="86"/>
      <c r="E175" s="86"/>
      <c r="F175" s="86"/>
      <c r="G175" s="54"/>
      <c r="H175" s="54"/>
      <c r="I175" s="54"/>
      <c r="J175" s="54"/>
      <c r="K175" s="66"/>
      <c r="L175" s="65"/>
      <c r="M175" s="65"/>
      <c r="N175" s="65"/>
      <c r="O175" s="54"/>
    </row>
    <row r="176" spans="1:25" ht="22" customHeight="1">
      <c r="A176" s="67"/>
      <c r="B176" s="54" t="s">
        <v>111</v>
      </c>
      <c r="C176" s="71">
        <f t="shared" ref="C176:N176" si="135">C146+C163+C168+C173</f>
        <v>656.70300000000009</v>
      </c>
      <c r="D176" s="71">
        <f t="shared" si="135"/>
        <v>1210.761</v>
      </c>
      <c r="E176" s="71">
        <f t="shared" si="135"/>
        <v>673.59299999999996</v>
      </c>
      <c r="F176" s="71">
        <f t="shared" si="135"/>
        <v>3153.6089999999999</v>
      </c>
      <c r="G176" s="71">
        <f t="shared" si="135"/>
        <v>4022.3839999999996</v>
      </c>
      <c r="H176" s="71">
        <f t="shared" si="135"/>
        <v>4461.7429999999995</v>
      </c>
      <c r="I176" s="71">
        <f t="shared" si="135"/>
        <v>3917.7129166666664</v>
      </c>
      <c r="J176" s="71">
        <f t="shared" si="135"/>
        <v>4010.4553287499998</v>
      </c>
      <c r="K176" s="71">
        <f t="shared" si="135"/>
        <v>3870.0893922437499</v>
      </c>
      <c r="L176" s="71">
        <f t="shared" si="135"/>
        <v>3734.6362635152182</v>
      </c>
      <c r="M176" s="71">
        <f t="shared" si="135"/>
        <v>3603.9239942921859</v>
      </c>
      <c r="N176" s="71">
        <f t="shared" si="135"/>
        <v>3477.7866544919589</v>
      </c>
      <c r="O176" s="54"/>
    </row>
    <row r="177" spans="1:16" ht="22" customHeight="1">
      <c r="A177" s="67"/>
      <c r="B177" s="62" t="s">
        <v>112</v>
      </c>
      <c r="C177" s="72">
        <f t="shared" ref="C177:N177" si="136">C176/C198</f>
        <v>0.13810668782612132</v>
      </c>
      <c r="D177" s="72">
        <f t="shared" si="136"/>
        <v>0.1328440413681963</v>
      </c>
      <c r="E177" s="72">
        <f t="shared" si="136"/>
        <v>5.4011670717880468E-2</v>
      </c>
      <c r="F177" s="72">
        <f t="shared" si="136"/>
        <v>0.19681327275178387</v>
      </c>
      <c r="G177" s="72">
        <f t="shared" si="136"/>
        <v>0.23550067392741666</v>
      </c>
      <c r="H177" s="72">
        <f t="shared" si="136"/>
        <v>0.25799946470412016</v>
      </c>
      <c r="I177" s="72">
        <f t="shared" si="136"/>
        <v>0.24636130519754856</v>
      </c>
      <c r="J177" s="72">
        <f t="shared" si="136"/>
        <v>0.2500236752234915</v>
      </c>
      <c r="K177" s="72">
        <f t="shared" si="136"/>
        <v>0.24241435947835335</v>
      </c>
      <c r="L177" s="72">
        <f t="shared" si="136"/>
        <v>0.23438760311779236</v>
      </c>
      <c r="M177" s="72">
        <f t="shared" si="136"/>
        <v>0.22708561558217705</v>
      </c>
      <c r="N177" s="72">
        <f t="shared" si="136"/>
        <v>0.21993218254239819</v>
      </c>
      <c r="O177" s="54"/>
    </row>
    <row r="178" spans="1:16" ht="22" customHeight="1">
      <c r="A178" s="67"/>
      <c r="B178" s="62" t="s">
        <v>113</v>
      </c>
      <c r="C178" s="64">
        <f t="shared" ref="C178:G178" si="137">C179/C176</f>
        <v>-0.69920185352034236</v>
      </c>
      <c r="D178" s="64">
        <f t="shared" si="137"/>
        <v>-0.19670666486358912</v>
      </c>
      <c r="E178" s="64">
        <f t="shared" si="137"/>
        <v>-0.54836062409654796</v>
      </c>
      <c r="F178" s="64">
        <f t="shared" si="137"/>
        <v>8.280723318262756E-2</v>
      </c>
      <c r="G178" s="64">
        <f t="shared" si="137"/>
        <v>8.9406717790848703E-2</v>
      </c>
      <c r="H178" s="64">
        <f>H179/H176</f>
        <v>8.0223448938189862E-2</v>
      </c>
      <c r="I178" s="185">
        <f>4%</f>
        <v>0.04</v>
      </c>
      <c r="J178" s="72">
        <f>5%</f>
        <v>0.05</v>
      </c>
      <c r="K178" s="72">
        <f>7%</f>
        <v>7.0000000000000007E-2</v>
      </c>
      <c r="L178" s="72">
        <f>$K$178</f>
        <v>7.0000000000000007E-2</v>
      </c>
      <c r="M178" s="72">
        <f t="shared" ref="M178:N178" si="138">$K$178</f>
        <v>7.0000000000000007E-2</v>
      </c>
      <c r="N178" s="72">
        <f t="shared" si="138"/>
        <v>7.0000000000000007E-2</v>
      </c>
      <c r="O178" s="54"/>
    </row>
    <row r="179" spans="1:16" ht="22" customHeight="1">
      <c r="A179" s="70"/>
      <c r="B179" s="62" t="s">
        <v>114</v>
      </c>
      <c r="C179" s="71">
        <f>-193.832-(1210.556*C177)-(710.683*C177)</f>
        <v>-459.16795481236949</v>
      </c>
      <c r="D179" s="71">
        <f>25.367-(1150.61*D177)-(833.158*D177)</f>
        <v>-238.16475825690401</v>
      </c>
      <c r="E179" s="71">
        <f>-203.136-(814.128*E177)-(2263.649*E177)</f>
        <v>-369.37187786706602</v>
      </c>
      <c r="F179" s="71">
        <f>866.889-(814.128*F177)-(2263.649*F177)</f>
        <v>261.14163582983292</v>
      </c>
      <c r="G179" s="186">
        <f>1087.126-(831.097*G177)-(2258.057*G177)</f>
        <v>359.62815113442514</v>
      </c>
      <c r="H179" s="187">
        <f>1203.194-(1017.794*H177)-(2258.405*H177)</f>
        <v>357.93641173582603</v>
      </c>
      <c r="I179" s="186">
        <f>I176*I178</f>
        <v>156.70851666666667</v>
      </c>
      <c r="J179" s="186">
        <f>J176*J178</f>
        <v>200.5227664375</v>
      </c>
      <c r="K179" s="186">
        <f t="shared" ref="K179:N179" si="139">K176*K178</f>
        <v>270.90625745706251</v>
      </c>
      <c r="L179" s="186">
        <f>L176*L178</f>
        <v>261.4245384460653</v>
      </c>
      <c r="M179" s="186">
        <f t="shared" si="139"/>
        <v>252.27467960045303</v>
      </c>
      <c r="N179" s="186">
        <f t="shared" si="139"/>
        <v>243.44506581443716</v>
      </c>
      <c r="O179" s="54"/>
    </row>
    <row r="180" spans="1:16" ht="22" customHeight="1">
      <c r="A180" s="179"/>
      <c r="B180" s="1"/>
      <c r="C180" s="1"/>
      <c r="D180" s="1"/>
      <c r="E180" s="1"/>
      <c r="F180" s="1"/>
      <c r="G180" s="1"/>
      <c r="H180" s="1"/>
      <c r="I180" s="1"/>
      <c r="J180" s="54"/>
      <c r="K180" s="54"/>
      <c r="L180" s="54"/>
      <c r="M180" s="54"/>
      <c r="N180" s="54"/>
      <c r="O180" s="72"/>
    </row>
    <row r="181" spans="1:16" ht="22" customHeight="1">
      <c r="A181" s="61" t="s">
        <v>126</v>
      </c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  <c r="L181" s="179"/>
      <c r="M181" s="179"/>
      <c r="N181" s="179"/>
      <c r="O181" s="54"/>
    </row>
    <row r="182" spans="1:16" ht="22" customHeight="1">
      <c r="A182" s="179"/>
      <c r="B182" s="62" t="s">
        <v>120</v>
      </c>
      <c r="C182" s="157" t="s">
        <v>90</v>
      </c>
      <c r="D182" s="157" t="s">
        <v>90</v>
      </c>
      <c r="E182" s="157" t="s">
        <v>90</v>
      </c>
      <c r="F182" s="157" t="s">
        <v>90</v>
      </c>
      <c r="G182" s="157" t="s">
        <v>90</v>
      </c>
      <c r="H182" s="157" t="s">
        <v>90</v>
      </c>
      <c r="I182" s="193">
        <v>0.02</v>
      </c>
      <c r="J182" s="151">
        <f>$I$182</f>
        <v>0.02</v>
      </c>
      <c r="K182" s="151">
        <f t="shared" ref="K182:N182" si="140">$I$182</f>
        <v>0.02</v>
      </c>
      <c r="L182" s="151">
        <f t="shared" si="140"/>
        <v>0.02</v>
      </c>
      <c r="M182" s="151">
        <f t="shared" si="140"/>
        <v>0.02</v>
      </c>
      <c r="N182" s="151">
        <f t="shared" si="140"/>
        <v>0.02</v>
      </c>
      <c r="O182" s="54"/>
      <c r="P182" s="194" t="s">
        <v>157</v>
      </c>
    </row>
    <row r="183" spans="1:16" ht="22" customHeight="1">
      <c r="A183" s="179"/>
      <c r="B183" s="54" t="s">
        <v>121</v>
      </c>
      <c r="C183" s="157" t="s">
        <v>90</v>
      </c>
      <c r="D183" s="157" t="s">
        <v>90</v>
      </c>
      <c r="E183" s="157" t="s">
        <v>90</v>
      </c>
      <c r="F183" s="157" t="s">
        <v>90</v>
      </c>
      <c r="G183" s="157" t="s">
        <v>90</v>
      </c>
      <c r="H183" s="157" t="s">
        <v>90</v>
      </c>
      <c r="I183" s="185">
        <v>0</v>
      </c>
      <c r="J183" s="72">
        <f>$I$183</f>
        <v>0</v>
      </c>
      <c r="K183" s="72">
        <f t="shared" ref="K183:N183" si="141">$I$183</f>
        <v>0</v>
      </c>
      <c r="L183" s="72">
        <f t="shared" si="141"/>
        <v>0</v>
      </c>
      <c r="M183" s="72">
        <f t="shared" si="141"/>
        <v>0</v>
      </c>
      <c r="N183" s="72">
        <f t="shared" si="141"/>
        <v>0</v>
      </c>
      <c r="O183" s="54"/>
      <c r="P183" s="7" t="s">
        <v>158</v>
      </c>
    </row>
    <row r="184" spans="1:16" ht="22" customHeight="1">
      <c r="A184" s="179"/>
      <c r="B184" s="54" t="s">
        <v>122</v>
      </c>
      <c r="C184" s="157" t="s">
        <v>90</v>
      </c>
      <c r="D184" s="157" t="s">
        <v>90</v>
      </c>
      <c r="E184" s="157" t="s">
        <v>90</v>
      </c>
      <c r="F184" s="157" t="s">
        <v>90</v>
      </c>
      <c r="G184" s="157" t="s">
        <v>90</v>
      </c>
      <c r="H184" s="157" t="s">
        <v>90</v>
      </c>
      <c r="I184" s="185">
        <v>0</v>
      </c>
      <c r="J184" s="72">
        <f>$I$184</f>
        <v>0</v>
      </c>
      <c r="K184" s="72">
        <f t="shared" ref="K184:N184" si="142">$I$184</f>
        <v>0</v>
      </c>
      <c r="L184" s="72">
        <f t="shared" si="142"/>
        <v>0</v>
      </c>
      <c r="M184" s="72">
        <f t="shared" si="142"/>
        <v>0</v>
      </c>
      <c r="N184" s="72">
        <f t="shared" si="142"/>
        <v>0</v>
      </c>
      <c r="O184" s="54"/>
      <c r="P184" s="7" t="s">
        <v>159</v>
      </c>
    </row>
    <row r="185" spans="1:16" ht="22" customHeight="1">
      <c r="A185" s="179"/>
      <c r="B185" s="54" t="s">
        <v>91</v>
      </c>
      <c r="C185" s="157" t="s">
        <v>90</v>
      </c>
      <c r="D185" s="157" t="s">
        <v>90</v>
      </c>
      <c r="E185" s="157" t="s">
        <v>90</v>
      </c>
      <c r="F185" s="72">
        <f>F188</f>
        <v>0</v>
      </c>
      <c r="G185" s="72">
        <f t="shared" ref="G185:H185" si="143">G188</f>
        <v>0.27737385050422758</v>
      </c>
      <c r="H185" s="72">
        <f t="shared" si="143"/>
        <v>0.18510104852793077</v>
      </c>
      <c r="I185" s="72">
        <f>SUM(I182:I184)</f>
        <v>0.02</v>
      </c>
      <c r="J185" s="72">
        <f t="shared" ref="J185:N185" si="144">SUM(J182:J184)</f>
        <v>0.02</v>
      </c>
      <c r="K185" s="72">
        <f t="shared" si="144"/>
        <v>0.02</v>
      </c>
      <c r="L185" s="72">
        <f t="shared" si="144"/>
        <v>0.02</v>
      </c>
      <c r="M185" s="72">
        <f t="shared" si="144"/>
        <v>0.02</v>
      </c>
      <c r="N185" s="72">
        <f t="shared" si="144"/>
        <v>0.02</v>
      </c>
      <c r="O185" s="54"/>
    </row>
    <row r="186" spans="1:16" ht="22" customHeight="1">
      <c r="A186" s="179"/>
      <c r="B186" s="179"/>
      <c r="C186" s="157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</row>
    <row r="187" spans="1:16" ht="22" customHeight="1">
      <c r="A187" s="179"/>
      <c r="B187" s="62" t="s">
        <v>123</v>
      </c>
      <c r="C187" s="77">
        <v>0</v>
      </c>
      <c r="D187" s="77">
        <v>0</v>
      </c>
      <c r="E187" s="77">
        <v>0</v>
      </c>
      <c r="F187" s="77">
        <v>432.14600000000002</v>
      </c>
      <c r="G187" s="77">
        <v>552.01199999999994</v>
      </c>
      <c r="H187" s="192">
        <v>654.19000000000005</v>
      </c>
      <c r="I187" s="76">
        <f>H187*(1+I185)</f>
        <v>667.27380000000005</v>
      </c>
      <c r="J187" s="76">
        <f t="shared" ref="J187:N187" si="145">I187*(1+J185)</f>
        <v>680.61927600000001</v>
      </c>
      <c r="K187" s="76">
        <f t="shared" si="145"/>
        <v>694.23166151999999</v>
      </c>
      <c r="L187" s="76">
        <f t="shared" si="145"/>
        <v>708.11629475040002</v>
      </c>
      <c r="M187" s="76">
        <f t="shared" si="145"/>
        <v>722.27862064540807</v>
      </c>
      <c r="N187" s="76">
        <f t="shared" si="145"/>
        <v>736.72419305831625</v>
      </c>
      <c r="O187" s="54"/>
    </row>
    <row r="188" spans="1:16" ht="22" customHeight="1">
      <c r="A188" s="179"/>
      <c r="B188" s="62" t="s">
        <v>124</v>
      </c>
      <c r="C188" s="72">
        <v>0</v>
      </c>
      <c r="D188" s="72">
        <v>0</v>
      </c>
      <c r="E188" s="72">
        <v>0</v>
      </c>
      <c r="F188" s="72">
        <f>(F187-F187)/F187</f>
        <v>0</v>
      </c>
      <c r="G188" s="72">
        <f>(G187-F187)/F187</f>
        <v>0.27737385050422758</v>
      </c>
      <c r="H188" s="72">
        <f t="shared" ref="H188:N188" si="146">(H187-G187)/G187</f>
        <v>0.18510104852793077</v>
      </c>
      <c r="I188" s="72">
        <f t="shared" si="146"/>
        <v>1.9999999999999993E-2</v>
      </c>
      <c r="J188" s="72">
        <f>(J187-I187)/I187</f>
        <v>1.9999999999999941E-2</v>
      </c>
      <c r="K188" s="72">
        <f>(K187-J187)/J187</f>
        <v>1.9999999999999962E-2</v>
      </c>
      <c r="L188" s="72">
        <f t="shared" si="146"/>
        <v>2.0000000000000039E-2</v>
      </c>
      <c r="M188" s="72">
        <f t="shared" si="146"/>
        <v>2.0000000000000073E-2</v>
      </c>
      <c r="N188" s="72">
        <f t="shared" si="146"/>
        <v>2.0000000000000021E-2</v>
      </c>
    </row>
    <row r="189" spans="1:16" ht="22" customHeight="1">
      <c r="A189" s="179"/>
      <c r="B189" s="179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</row>
    <row r="190" spans="1:16" ht="22" customHeight="1">
      <c r="A190" s="179"/>
      <c r="B190" s="54" t="s">
        <v>111</v>
      </c>
      <c r="C190" s="54">
        <v>0</v>
      </c>
      <c r="D190" s="54">
        <v>0</v>
      </c>
      <c r="E190" s="54">
        <v>0</v>
      </c>
      <c r="F190" s="54">
        <f>F187</f>
        <v>432.14600000000002</v>
      </c>
      <c r="G190" s="54">
        <f t="shared" ref="G190:N190" si="147">G187</f>
        <v>552.01199999999994</v>
      </c>
      <c r="H190" s="54">
        <f t="shared" si="147"/>
        <v>654.19000000000005</v>
      </c>
      <c r="I190" s="54">
        <f t="shared" si="147"/>
        <v>667.27380000000005</v>
      </c>
      <c r="J190" s="54">
        <f t="shared" si="147"/>
        <v>680.61927600000001</v>
      </c>
      <c r="K190" s="54">
        <f t="shared" si="147"/>
        <v>694.23166151999999</v>
      </c>
      <c r="L190" s="54">
        <f t="shared" si="147"/>
        <v>708.11629475040002</v>
      </c>
      <c r="M190" s="54">
        <f t="shared" si="147"/>
        <v>722.27862064540807</v>
      </c>
      <c r="N190" s="54">
        <f t="shared" si="147"/>
        <v>736.72419305831625</v>
      </c>
    </row>
    <row r="191" spans="1:16" ht="22" customHeight="1">
      <c r="A191" s="179"/>
      <c r="B191" s="62" t="s">
        <v>112</v>
      </c>
      <c r="C191" s="188">
        <f t="shared" ref="C191:N191" si="148">C190/C198</f>
        <v>0</v>
      </c>
      <c r="D191" s="188">
        <f t="shared" si="148"/>
        <v>0</v>
      </c>
      <c r="E191" s="188">
        <f t="shared" si="148"/>
        <v>0</v>
      </c>
      <c r="F191" s="180">
        <f t="shared" si="148"/>
        <v>2.6969757051870536E-2</v>
      </c>
      <c r="G191" s="180">
        <f t="shared" si="148"/>
        <v>3.2318942700652428E-2</v>
      </c>
      <c r="H191" s="180">
        <f t="shared" si="148"/>
        <v>3.7828415893696343E-2</v>
      </c>
      <c r="I191" s="180">
        <f t="shared" si="148"/>
        <v>4.196081943441568E-2</v>
      </c>
      <c r="J191" s="180">
        <f t="shared" si="148"/>
        <v>4.2431823537232051E-2</v>
      </c>
      <c r="K191" s="180">
        <f t="shared" si="148"/>
        <v>4.3485229021904798E-2</v>
      </c>
      <c r="L191" s="180">
        <f t="shared" si="148"/>
        <v>4.444172587211373E-2</v>
      </c>
      <c r="M191" s="180">
        <f t="shared" si="148"/>
        <v>4.5511249807398263E-2</v>
      </c>
      <c r="N191" s="180">
        <f t="shared" si="148"/>
        <v>4.6589792821771621E-2</v>
      </c>
    </row>
    <row r="192" spans="1:16" ht="22" customHeight="1">
      <c r="A192" s="179"/>
      <c r="B192" s="62" t="s">
        <v>113</v>
      </c>
      <c r="C192" s="188">
        <v>0</v>
      </c>
      <c r="D192" s="188">
        <v>0</v>
      </c>
      <c r="E192" s="188">
        <v>0</v>
      </c>
      <c r="F192" s="72">
        <f t="shared" ref="F192:G192" si="149">F193/F190</f>
        <v>-0.26711087907752223</v>
      </c>
      <c r="G192" s="72">
        <f t="shared" si="149"/>
        <v>-0.32076330065196279</v>
      </c>
      <c r="H192" s="72">
        <f>H193/H190</f>
        <v>-0.32748959525904103</v>
      </c>
      <c r="I192" s="185">
        <f>-20%</f>
        <v>-0.2</v>
      </c>
      <c r="J192" s="185">
        <f>-15%</f>
        <v>-0.15</v>
      </c>
      <c r="K192" s="185">
        <f>-7%</f>
        <v>-7.0000000000000007E-2</v>
      </c>
      <c r="L192" s="185">
        <v>0.02</v>
      </c>
      <c r="M192" s="185">
        <v>0.03</v>
      </c>
      <c r="N192" s="185">
        <v>0.04</v>
      </c>
    </row>
    <row r="193" spans="1:16" ht="22" customHeight="1">
      <c r="A193" s="179"/>
      <c r="B193" s="62" t="s">
        <v>114</v>
      </c>
      <c r="C193" s="54">
        <v>0</v>
      </c>
      <c r="D193" s="54">
        <v>0</v>
      </c>
      <c r="E193" s="54">
        <v>0</v>
      </c>
      <c r="F193" s="88">
        <f>-32.424-(814.128*F191)-(2263.649*F191)</f>
        <v>-115.43089794983493</v>
      </c>
      <c r="G193" s="88">
        <f>-77.227-(831.097*G191)-(2258.057*G191)</f>
        <v>-177.06519111949126</v>
      </c>
      <c r="H193" s="88">
        <f>-90.307-(1017.794*H191)-(2258.405*H191)</f>
        <v>-214.24041832251208</v>
      </c>
      <c r="I193" s="88">
        <f>I190*I192</f>
        <v>-133.45476000000002</v>
      </c>
      <c r="J193" s="88">
        <f t="shared" ref="J193:N193" si="150">J190*J192</f>
        <v>-102.0928914</v>
      </c>
      <c r="K193" s="88">
        <f t="shared" si="150"/>
        <v>-48.596216306400002</v>
      </c>
      <c r="L193" s="88">
        <f t="shared" si="150"/>
        <v>14.162325895008001</v>
      </c>
      <c r="M193" s="88">
        <f t="shared" si="150"/>
        <v>21.668358619362241</v>
      </c>
      <c r="N193" s="88">
        <f t="shared" si="150"/>
        <v>29.46896772233265</v>
      </c>
    </row>
    <row r="194" spans="1:16" ht="22" customHeight="1">
      <c r="A194" s="179"/>
      <c r="B194" s="179"/>
      <c r="C194" s="64"/>
      <c r="D194" s="64"/>
      <c r="E194" s="64"/>
      <c r="F194" s="88"/>
      <c r="G194" s="88"/>
      <c r="H194" s="88"/>
      <c r="I194" s="54"/>
      <c r="J194" s="54"/>
      <c r="K194" s="54"/>
      <c r="L194" s="54"/>
      <c r="M194" s="54"/>
      <c r="N194" s="54"/>
    </row>
    <row r="195" spans="1:16" ht="22" customHeight="1">
      <c r="A195" s="179"/>
      <c r="C195" s="67"/>
      <c r="D195" s="87"/>
      <c r="E195" s="87"/>
      <c r="F195" s="87"/>
      <c r="G195" s="182"/>
      <c r="H195" s="87"/>
      <c r="I195" s="87"/>
      <c r="J195" s="87"/>
      <c r="K195" s="54"/>
      <c r="L195" s="179"/>
      <c r="M195" s="179"/>
      <c r="N195" s="179"/>
    </row>
    <row r="196" spans="1:16" ht="22" customHeight="1">
      <c r="A196" s="179"/>
      <c r="B196" s="67" t="s">
        <v>10</v>
      </c>
      <c r="C196" s="77">
        <v>896</v>
      </c>
      <c r="D196" s="77">
        <v>-123.02200000000001</v>
      </c>
      <c r="E196" s="71">
        <v>1769.67</v>
      </c>
      <c r="F196" s="77">
        <v>-189</v>
      </c>
      <c r="G196" s="177">
        <v>-680</v>
      </c>
      <c r="H196" s="77">
        <v>-856</v>
      </c>
      <c r="I196" s="197">
        <f>AVERAGE(G196:H196)</f>
        <v>-768</v>
      </c>
      <c r="J196" s="77">
        <f>$I$196</f>
        <v>-768</v>
      </c>
      <c r="K196" s="77">
        <f t="shared" ref="K196:N196" si="151">$I$196</f>
        <v>-768</v>
      </c>
      <c r="L196" s="77">
        <f t="shared" si="151"/>
        <v>-768</v>
      </c>
      <c r="M196" s="77">
        <f t="shared" si="151"/>
        <v>-768</v>
      </c>
      <c r="N196" s="77">
        <f t="shared" si="151"/>
        <v>-768</v>
      </c>
    </row>
    <row r="197" spans="1:16" ht="22" customHeight="1">
      <c r="A197" s="179"/>
      <c r="B197" s="67"/>
      <c r="C197" s="67"/>
      <c r="D197" s="67"/>
      <c r="E197" s="67"/>
      <c r="F197" s="67"/>
      <c r="G197" s="67"/>
      <c r="H197" s="67"/>
      <c r="I197" s="67"/>
      <c r="J197" s="67"/>
      <c r="K197" s="54"/>
      <c r="L197" s="54"/>
      <c r="M197" s="54"/>
      <c r="N197" s="54"/>
      <c r="O197" s="183"/>
    </row>
    <row r="198" spans="1:16" ht="22" customHeight="1">
      <c r="A198" s="179"/>
      <c r="B198" s="70" t="s">
        <v>5</v>
      </c>
      <c r="C198" s="71">
        <f t="shared" ref="C198:N198" si="152">C67+C125+C176+C190</f>
        <v>4755.0412679999999</v>
      </c>
      <c r="D198" s="71">
        <f t="shared" si="152"/>
        <v>9114.1536159999996</v>
      </c>
      <c r="E198" s="71">
        <f t="shared" si="152"/>
        <v>12471.249103150001</v>
      </c>
      <c r="F198" s="71">
        <f t="shared" si="152"/>
        <v>16023.35531495</v>
      </c>
      <c r="G198" s="71">
        <f t="shared" si="152"/>
        <v>17080.137958499996</v>
      </c>
      <c r="H198" s="71">
        <f t="shared" si="152"/>
        <v>17293.613399999998</v>
      </c>
      <c r="I198" s="71">
        <f t="shared" si="152"/>
        <v>15902.306222664263</v>
      </c>
      <c r="J198" s="71">
        <f t="shared" si="152"/>
        <v>16040.302284034215</v>
      </c>
      <c r="K198" s="71">
        <f t="shared" si="152"/>
        <v>15964.769581190316</v>
      </c>
      <c r="L198" s="71">
        <f t="shared" si="152"/>
        <v>15933.591255841133</v>
      </c>
      <c r="M198" s="71">
        <f t="shared" si="152"/>
        <v>15870.33148292041</v>
      </c>
      <c r="N198" s="71">
        <f t="shared" si="152"/>
        <v>15812.995689348541</v>
      </c>
      <c r="P198" s="7" t="s">
        <v>161</v>
      </c>
    </row>
    <row r="199" spans="1:16" ht="22" customHeight="1">
      <c r="A199" s="179"/>
      <c r="B199" s="70" t="s">
        <v>13</v>
      </c>
      <c r="C199" s="165">
        <f>C70+C128+C179+C193+C196</f>
        <v>-642.89300000000026</v>
      </c>
      <c r="D199" s="165">
        <f>D70+D128+D179+D193+D196</f>
        <v>2278.6990000000001</v>
      </c>
      <c r="E199" s="165">
        <f>E70+E128+E179+E193+E196</f>
        <v>1439.3692379059564</v>
      </c>
      <c r="F199" s="165">
        <f t="shared" ref="F199:N199" si="153">F70+F128+F179+F193+F196</f>
        <v>1891.37</v>
      </c>
      <c r="G199" s="165">
        <f t="shared" si="153"/>
        <v>1490.8440000000001</v>
      </c>
      <c r="H199" s="165">
        <f>H70+H128+H179+H193+H196</f>
        <v>1001.7879999999996</v>
      </c>
      <c r="I199" s="165">
        <f t="shared" si="153"/>
        <v>280.08947626642612</v>
      </c>
      <c r="J199" s="165">
        <f t="shared" si="153"/>
        <v>467.77898176876351</v>
      </c>
      <c r="K199" s="165">
        <f t="shared" si="153"/>
        <v>711.29792645185034</v>
      </c>
      <c r="L199" s="165">
        <f>L70+L128+L179+L193+L196</f>
        <v>775.42157006013508</v>
      </c>
      <c r="M199" s="165">
        <f t="shared" si="153"/>
        <v>780.17256438775325</v>
      </c>
      <c r="N199" s="165">
        <f t="shared" si="153"/>
        <v>785.66627656256151</v>
      </c>
    </row>
    <row r="200" spans="1:16" ht="22" customHeight="1">
      <c r="A200" s="179"/>
      <c r="B200" s="61" t="s">
        <v>35</v>
      </c>
      <c r="C200" s="54">
        <f>C199+104</f>
        <v>-538.89300000000026</v>
      </c>
      <c r="D200" s="54">
        <f>D199-1494</f>
        <v>784.69900000000007</v>
      </c>
      <c r="E200" s="54">
        <f>E199-1070</f>
        <v>369.36923790595642</v>
      </c>
      <c r="F200" s="54">
        <f>F199-399</f>
        <v>1492.37</v>
      </c>
      <c r="G200" s="54">
        <f>G199</f>
        <v>1490.8440000000001</v>
      </c>
      <c r="H200" s="54">
        <f>H199+279+93</f>
        <v>1373.7879999999996</v>
      </c>
      <c r="I200" s="54">
        <f t="shared" ref="I200:N200" si="154">I199</f>
        <v>280.08947626642612</v>
      </c>
      <c r="J200" s="54">
        <f t="shared" si="154"/>
        <v>467.77898176876351</v>
      </c>
      <c r="K200" s="54">
        <f t="shared" si="154"/>
        <v>711.29792645185034</v>
      </c>
      <c r="L200" s="54">
        <f t="shared" si="154"/>
        <v>775.42157006013508</v>
      </c>
      <c r="M200" s="54">
        <f t="shared" si="154"/>
        <v>780.17256438775325</v>
      </c>
      <c r="N200" s="54">
        <f t="shared" si="154"/>
        <v>785.66627656256151</v>
      </c>
    </row>
    <row r="201" spans="1:16" ht="22" customHeight="1" thickBot="1">
      <c r="A201" s="179"/>
      <c r="B201" s="69" t="s">
        <v>125</v>
      </c>
      <c r="C201" s="72">
        <f t="shared" ref="C201:N201" si="155">C199/C198</f>
        <v>-0.13520240178071158</v>
      </c>
      <c r="D201" s="72">
        <f t="shared" si="155"/>
        <v>0.25001762050616727</v>
      </c>
      <c r="E201" s="72">
        <f t="shared" si="155"/>
        <v>0.11541500181745219</v>
      </c>
      <c r="F201" s="72">
        <f t="shared" si="155"/>
        <v>0.11803832361099344</v>
      </c>
      <c r="G201" s="72">
        <f t="shared" si="155"/>
        <v>8.7285243457771708E-2</v>
      </c>
      <c r="H201" s="72">
        <f>H199/H198</f>
        <v>5.7928206027781308E-2</v>
      </c>
      <c r="I201" s="72">
        <f t="shared" si="155"/>
        <v>1.761313562602872E-2</v>
      </c>
      <c r="J201" s="72">
        <f t="shared" si="155"/>
        <v>2.9162728574907804E-2</v>
      </c>
      <c r="K201" s="72">
        <f t="shared" si="155"/>
        <v>4.4554224402330318E-2</v>
      </c>
      <c r="L201" s="72">
        <f t="shared" si="155"/>
        <v>4.8665837952625489E-2</v>
      </c>
      <c r="M201" s="72">
        <f t="shared" si="155"/>
        <v>4.9159185189507348E-2</v>
      </c>
      <c r="N201" s="72">
        <f t="shared" si="155"/>
        <v>4.9684847324139698E-2</v>
      </c>
    </row>
    <row r="202" spans="1:16" ht="22" customHeight="1" thickBot="1">
      <c r="A202" s="179"/>
      <c r="B202" s="198" t="s">
        <v>160</v>
      </c>
      <c r="C202" s="199">
        <f>C200/C198</f>
        <v>-0.11333087761542436</v>
      </c>
      <c r="D202" s="199">
        <f t="shared" ref="D202:N202" si="156">D200/D198</f>
        <v>8.6096749414279361E-2</v>
      </c>
      <c r="E202" s="199">
        <f t="shared" si="156"/>
        <v>2.9617661779577538E-2</v>
      </c>
      <c r="F202" s="199">
        <f t="shared" si="156"/>
        <v>9.3137172000897911E-2</v>
      </c>
      <c r="G202" s="199">
        <f t="shared" si="156"/>
        <v>8.7285243457771708E-2</v>
      </c>
      <c r="H202" s="199">
        <f>H200/H198</f>
        <v>7.9439037303794452E-2</v>
      </c>
      <c r="I202" s="199">
        <f t="shared" si="156"/>
        <v>1.761313562602872E-2</v>
      </c>
      <c r="J202" s="199">
        <f t="shared" si="156"/>
        <v>2.9162728574907804E-2</v>
      </c>
      <c r="K202" s="199">
        <f t="shared" si="156"/>
        <v>4.4554224402330318E-2</v>
      </c>
      <c r="L202" s="199">
        <f t="shared" si="156"/>
        <v>4.8665837952625489E-2</v>
      </c>
      <c r="M202" s="199">
        <f t="shared" si="156"/>
        <v>4.9159185189507348E-2</v>
      </c>
      <c r="N202" s="200">
        <f t="shared" si="156"/>
        <v>4.9684847324139698E-2</v>
      </c>
    </row>
    <row r="203" spans="1:16" ht="22" customHeight="1">
      <c r="A203" s="179"/>
    </row>
    <row r="204" spans="1:16" ht="22" customHeight="1">
      <c r="A204" s="179"/>
      <c r="B204" s="195"/>
      <c r="C204" s="196"/>
      <c r="D204" s="196"/>
      <c r="E204" s="196">
        <v>1439372</v>
      </c>
      <c r="F204" s="196"/>
      <c r="G204" s="196"/>
      <c r="H204" s="204" t="s">
        <v>172</v>
      </c>
      <c r="I204" s="196"/>
      <c r="J204" s="196"/>
      <c r="K204" s="196"/>
      <c r="L204" s="196"/>
      <c r="M204" s="196"/>
      <c r="N204" s="196"/>
    </row>
    <row r="206" spans="1:16" ht="22" customHeight="1">
      <c r="D206" s="206"/>
      <c r="E206" s="205"/>
    </row>
    <row r="207" spans="1:16" ht="22" customHeight="1">
      <c r="A207" s="179"/>
      <c r="B207" s="54"/>
      <c r="C207" s="179"/>
      <c r="D207" s="54"/>
      <c r="E207" s="54"/>
      <c r="F207" s="54"/>
      <c r="G207" s="54"/>
      <c r="H207" s="179"/>
      <c r="I207" s="179"/>
      <c r="J207" s="179"/>
      <c r="K207" s="179"/>
      <c r="L207" s="179"/>
      <c r="M207" s="179"/>
      <c r="N207" s="179"/>
    </row>
    <row r="208" spans="1:16" ht="22" customHeight="1">
      <c r="A208" s="179"/>
      <c r="B208" s="62"/>
      <c r="C208" s="179"/>
      <c r="D208" s="54"/>
      <c r="E208" s="54"/>
      <c r="F208" s="73"/>
      <c r="G208" s="54"/>
      <c r="H208" s="179"/>
      <c r="I208" s="179"/>
      <c r="J208" s="179"/>
      <c r="K208" s="179"/>
      <c r="L208" s="179"/>
      <c r="M208" s="179"/>
      <c r="N208" s="179"/>
    </row>
    <row r="209" spans="1:14" ht="22" customHeight="1">
      <c r="A209" s="179"/>
      <c r="B209" s="62"/>
      <c r="C209" s="179"/>
      <c r="D209" s="73"/>
      <c r="E209" s="54"/>
      <c r="F209" s="54"/>
      <c r="G209" s="54"/>
      <c r="H209" s="179"/>
      <c r="I209" s="179"/>
      <c r="J209" s="179"/>
      <c r="K209" s="179"/>
      <c r="L209" s="179"/>
      <c r="M209" s="179"/>
      <c r="N209" s="179"/>
    </row>
    <row r="210" spans="1:14" ht="22" customHeight="1">
      <c r="A210" s="179"/>
      <c r="B210" s="54"/>
      <c r="C210" s="179"/>
      <c r="D210" s="54"/>
      <c r="E210" s="54"/>
      <c r="F210" s="73"/>
      <c r="G210" s="54"/>
      <c r="H210" s="179"/>
      <c r="I210" s="179"/>
      <c r="J210" s="179"/>
      <c r="K210" s="179"/>
      <c r="L210" s="179"/>
      <c r="M210" s="179"/>
      <c r="N210" s="179"/>
    </row>
    <row r="211" spans="1:14" ht="22" customHeight="1">
      <c r="A211" s="179"/>
      <c r="B211" s="62"/>
      <c r="C211" s="54"/>
      <c r="D211" s="54"/>
      <c r="E211" s="54"/>
      <c r="F211" s="73"/>
      <c r="G211" s="54"/>
      <c r="H211" s="179"/>
      <c r="I211" s="179"/>
      <c r="J211" s="179"/>
      <c r="K211" s="179"/>
      <c r="L211" s="179"/>
      <c r="M211" s="179"/>
      <c r="N211" s="179"/>
    </row>
    <row r="212" spans="1:14" ht="22" customHeight="1">
      <c r="A212" s="179"/>
      <c r="B212" s="62"/>
      <c r="C212" s="54"/>
      <c r="D212" s="54"/>
      <c r="E212" s="54"/>
      <c r="F212" s="54"/>
      <c r="G212" s="54"/>
      <c r="H212" s="179"/>
      <c r="I212" s="179"/>
      <c r="J212" s="179"/>
      <c r="K212" s="179"/>
      <c r="L212" s="179"/>
      <c r="M212" s="179"/>
      <c r="N212" s="179"/>
    </row>
    <row r="213" spans="1:14" ht="22" customHeight="1">
      <c r="A213" s="179"/>
      <c r="B213" s="62"/>
      <c r="C213" s="54"/>
      <c r="D213" s="54"/>
      <c r="E213" s="54"/>
      <c r="F213" s="54"/>
      <c r="G213" s="54"/>
      <c r="H213" s="179"/>
      <c r="I213" s="179"/>
      <c r="J213" s="179"/>
      <c r="K213" s="179"/>
      <c r="L213" s="179"/>
      <c r="M213" s="179"/>
      <c r="N213" s="179"/>
    </row>
    <row r="214" spans="1:14" ht="22" customHeight="1">
      <c r="A214" s="179"/>
      <c r="B214" s="62"/>
      <c r="C214" s="54"/>
      <c r="D214" s="54"/>
      <c r="E214" s="54"/>
      <c r="F214" s="73"/>
      <c r="G214" s="179"/>
      <c r="H214" s="179"/>
      <c r="I214" s="179"/>
      <c r="J214" s="179"/>
      <c r="K214" s="179"/>
      <c r="L214" s="179"/>
      <c r="M214" s="179"/>
      <c r="N214" s="179"/>
    </row>
    <row r="215" spans="1:14" ht="22" customHeight="1">
      <c r="A215" s="179"/>
      <c r="B215" s="98"/>
      <c r="C215" s="179"/>
      <c r="D215" s="179"/>
      <c r="E215" s="179"/>
      <c r="F215" s="54"/>
      <c r="G215" s="179"/>
      <c r="H215" s="179"/>
      <c r="I215" s="179"/>
      <c r="J215" s="179"/>
      <c r="K215" s="179"/>
      <c r="L215" s="179"/>
      <c r="M215" s="179"/>
      <c r="N215" s="179"/>
    </row>
    <row r="216" spans="1:14" ht="22" customHeight="1">
      <c r="A216" s="179"/>
      <c r="B216" s="62"/>
      <c r="C216" s="179"/>
      <c r="D216" s="179"/>
      <c r="E216" s="179"/>
      <c r="F216" s="179"/>
      <c r="G216" s="179"/>
      <c r="H216" s="179"/>
      <c r="I216" s="179"/>
      <c r="J216" s="179"/>
      <c r="K216" s="179"/>
      <c r="L216" s="179"/>
      <c r="M216" s="179"/>
      <c r="N216" s="179"/>
    </row>
    <row r="217" spans="1:14" ht="22" customHeight="1">
      <c r="A217" s="179"/>
      <c r="B217" s="62"/>
      <c r="C217" s="179"/>
      <c r="D217" s="179"/>
      <c r="E217" s="179"/>
      <c r="F217" s="184"/>
      <c r="G217" s="179"/>
      <c r="H217" s="179"/>
      <c r="I217" s="179"/>
      <c r="J217" s="179"/>
      <c r="K217" s="179"/>
      <c r="L217" s="179"/>
      <c r="M217" s="179"/>
      <c r="N217" s="179"/>
    </row>
    <row r="218" spans="1:14" ht="22" customHeight="1">
      <c r="A218" s="179"/>
      <c r="B218" s="54"/>
      <c r="C218" s="179"/>
      <c r="D218" s="179"/>
      <c r="E218" s="179"/>
      <c r="F218" s="184"/>
      <c r="G218" s="179"/>
      <c r="H218" s="179"/>
      <c r="I218" s="179"/>
      <c r="J218" s="179"/>
      <c r="K218" s="179"/>
      <c r="L218" s="179"/>
      <c r="M218" s="179"/>
      <c r="N218" s="179"/>
    </row>
    <row r="219" spans="1:14" ht="22" customHeight="1">
      <c r="A219" s="179"/>
      <c r="B219" s="54"/>
      <c r="C219" s="179"/>
      <c r="D219" s="179"/>
      <c r="E219" s="179"/>
      <c r="F219" s="184"/>
      <c r="G219" s="179"/>
      <c r="H219" s="179"/>
      <c r="I219" s="179"/>
      <c r="J219" s="179"/>
      <c r="K219" s="179"/>
      <c r="L219" s="179"/>
      <c r="M219" s="179"/>
      <c r="N219" s="179"/>
    </row>
    <row r="220" spans="1:14" ht="22" customHeight="1">
      <c r="A220" s="179"/>
      <c r="B220" s="98"/>
      <c r="C220" s="179"/>
      <c r="D220" s="179"/>
      <c r="E220" s="179"/>
      <c r="F220" s="179"/>
      <c r="G220" s="179"/>
      <c r="H220" s="179"/>
      <c r="I220" s="179"/>
      <c r="J220" s="179"/>
      <c r="K220" s="179"/>
      <c r="L220" s="179"/>
      <c r="M220" s="179"/>
      <c r="N220" s="179"/>
    </row>
    <row r="221" spans="1:14" ht="22" customHeight="1">
      <c r="A221" s="179"/>
      <c r="B221" s="62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</row>
    <row r="222" spans="1:14" ht="22" customHeight="1">
      <c r="A222" s="179"/>
      <c r="B222" s="66"/>
      <c r="C222" s="54"/>
      <c r="D222" s="54"/>
      <c r="E222" s="54"/>
      <c r="F222" s="179"/>
      <c r="G222" s="179"/>
      <c r="H222" s="179"/>
      <c r="I222" s="179"/>
      <c r="J222" s="179"/>
      <c r="K222" s="179"/>
      <c r="L222" s="179"/>
      <c r="M222" s="179"/>
      <c r="N222" s="179"/>
    </row>
    <row r="223" spans="1:14" ht="22" customHeight="1">
      <c r="A223" s="179"/>
      <c r="B223" s="54"/>
      <c r="C223" s="54"/>
      <c r="D223" s="54"/>
      <c r="E223" s="54"/>
      <c r="F223" s="54"/>
      <c r="G223" s="54"/>
      <c r="H223" s="54"/>
      <c r="I223" s="179"/>
      <c r="J223" s="179"/>
      <c r="K223" s="179"/>
      <c r="L223" s="179"/>
      <c r="M223" s="179"/>
      <c r="N223" s="179"/>
    </row>
    <row r="224" spans="1:14" ht="22" customHeight="1">
      <c r="A224" s="179"/>
      <c r="B224" s="54"/>
      <c r="C224" s="158"/>
      <c r="D224" s="158"/>
      <c r="E224" s="158"/>
      <c r="F224" s="54"/>
      <c r="G224" s="54"/>
      <c r="H224" s="54"/>
      <c r="I224" s="179"/>
      <c r="J224" s="179"/>
      <c r="K224" s="179"/>
      <c r="L224" s="179"/>
      <c r="M224" s="179"/>
      <c r="N224" s="179"/>
    </row>
    <row r="225" spans="1:14" ht="22" customHeight="1">
      <c r="A225" s="179"/>
      <c r="B225" s="66"/>
      <c r="C225" s="54"/>
      <c r="D225" s="54"/>
      <c r="E225" s="54"/>
      <c r="F225" s="158"/>
      <c r="G225" s="158"/>
      <c r="H225" s="158"/>
      <c r="I225" s="179"/>
      <c r="J225" s="179"/>
      <c r="K225" s="179"/>
      <c r="L225" s="179"/>
      <c r="M225" s="179"/>
      <c r="N225" s="179"/>
    </row>
    <row r="226" spans="1:14" ht="22" customHeight="1">
      <c r="A226" s="179"/>
      <c r="B226" s="66"/>
      <c r="C226" s="54"/>
      <c r="D226" s="54"/>
      <c r="E226" s="54"/>
      <c r="F226" s="54"/>
      <c r="G226" s="54"/>
      <c r="H226" s="54"/>
      <c r="I226" s="179"/>
      <c r="J226" s="179"/>
      <c r="K226" s="179"/>
      <c r="L226" s="179"/>
      <c r="M226" s="179"/>
      <c r="N226" s="179"/>
    </row>
    <row r="227" spans="1:14" ht="22" customHeight="1">
      <c r="A227" s="179"/>
      <c r="B227" s="54"/>
      <c r="C227" s="54"/>
      <c r="D227" s="54"/>
      <c r="E227" s="54"/>
      <c r="F227" s="54"/>
      <c r="G227" s="54"/>
      <c r="H227" s="54"/>
      <c r="I227" s="54"/>
      <c r="J227" s="179"/>
      <c r="K227" s="179"/>
      <c r="L227" s="179"/>
      <c r="M227" s="179"/>
      <c r="N227" s="179"/>
    </row>
    <row r="228" spans="1:14" ht="22" customHeight="1">
      <c r="A228" s="179"/>
      <c r="B228" s="54"/>
      <c r="C228" s="54"/>
      <c r="D228" s="54"/>
      <c r="E228" s="54"/>
      <c r="F228" s="54"/>
      <c r="G228" s="54"/>
      <c r="H228" s="54"/>
      <c r="I228" s="54"/>
      <c r="J228" s="179"/>
      <c r="K228" s="179"/>
      <c r="L228" s="179"/>
      <c r="M228" s="179"/>
      <c r="N228" s="179"/>
    </row>
    <row r="229" spans="1:14" ht="22" customHeight="1">
      <c r="A229" s="179"/>
      <c r="B229" s="54"/>
      <c r="C229" s="54"/>
      <c r="D229" s="54"/>
      <c r="E229" s="54"/>
      <c r="F229" s="54"/>
      <c r="G229" s="54"/>
      <c r="H229" s="54"/>
      <c r="I229" s="54"/>
      <c r="J229" s="179"/>
      <c r="K229" s="179"/>
      <c r="L229" s="179"/>
      <c r="M229" s="179"/>
      <c r="N229" s="179"/>
    </row>
    <row r="230" spans="1:14" ht="22" customHeight="1">
      <c r="A230" s="179"/>
      <c r="B230" s="54"/>
      <c r="C230" s="54"/>
      <c r="D230" s="54"/>
      <c r="E230" s="54"/>
      <c r="F230" s="54"/>
      <c r="G230" s="54"/>
      <c r="H230" s="54"/>
      <c r="I230" s="54"/>
      <c r="J230" s="179"/>
      <c r="K230" s="179"/>
      <c r="L230" s="179"/>
      <c r="M230" s="179"/>
      <c r="N230" s="179"/>
    </row>
    <row r="231" spans="1:14" ht="22" customHeight="1">
      <c r="A231" s="179"/>
      <c r="B231" s="54"/>
      <c r="C231" s="54"/>
      <c r="D231" s="54"/>
      <c r="E231" s="54"/>
      <c r="F231" s="54"/>
      <c r="G231" s="54"/>
      <c r="H231" s="54"/>
      <c r="I231" s="54"/>
      <c r="J231" s="179"/>
      <c r="K231" s="179"/>
      <c r="L231" s="179"/>
      <c r="M231" s="179"/>
      <c r="N231" s="179"/>
    </row>
    <row r="232" spans="1:14" ht="22" customHeight="1">
      <c r="A232" s="179"/>
      <c r="B232" s="54"/>
      <c r="C232" s="54"/>
      <c r="D232" s="54"/>
      <c r="E232" s="54"/>
      <c r="F232" s="54"/>
      <c r="G232" s="54"/>
      <c r="H232" s="54"/>
      <c r="I232" s="54"/>
      <c r="J232" s="179"/>
      <c r="K232" s="179"/>
      <c r="L232" s="179"/>
      <c r="M232" s="179"/>
      <c r="N232" s="179"/>
    </row>
    <row r="233" spans="1:14" ht="22" customHeight="1">
      <c r="A233" s="179"/>
      <c r="B233" s="54"/>
      <c r="C233" s="54"/>
      <c r="D233" s="54"/>
      <c r="E233" s="54"/>
      <c r="F233" s="54"/>
      <c r="G233" s="54"/>
      <c r="H233" s="54"/>
      <c r="I233" s="54"/>
      <c r="J233" s="179"/>
      <c r="K233" s="179"/>
      <c r="L233" s="179"/>
      <c r="M233" s="179"/>
      <c r="N233" s="179"/>
    </row>
    <row r="234" spans="1:14" ht="22" customHeight="1">
      <c r="C234" s="1"/>
      <c r="D234" s="1"/>
      <c r="E234" s="1"/>
      <c r="F234" s="1"/>
      <c r="G234" s="1"/>
      <c r="H234" s="1"/>
      <c r="I234" s="1"/>
    </row>
    <row r="235" spans="1:14" ht="22" customHeight="1">
      <c r="F235" s="1"/>
      <c r="G235" s="1"/>
      <c r="H235" s="1"/>
      <c r="I235" s="1"/>
    </row>
  </sheetData>
  <hyperlinks>
    <hyperlink ref="P182" r:id="rId1" xr:uid="{B2186E5E-DEC7-1B41-86C6-C0982E14D5D8}"/>
  </hyperlinks>
  <pageMargins left="0.75" right="0.75" top="1" bottom="1" header="0.5" footer="0.5"/>
  <pageSetup scale="40" orientation="landscape" horizontalDpi="4294967292" verticalDpi="4294967292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AF6B1-4E37-8F4A-BDB3-D7CFB0515B3C}">
  <dimension ref="A1:Z224"/>
  <sheetViews>
    <sheetView showGridLines="0" zoomScale="60" zoomScaleNormal="93" workbookViewId="0">
      <pane xSplit="1" ySplit="4" topLeftCell="B5" activePane="bottomRight" state="frozen"/>
      <selection pane="topRight" activeCell="B1" sqref="B1"/>
      <selection pane="bottomLeft" activeCell="A8" sqref="A8"/>
      <selection pane="bottomRight" activeCell="A44" sqref="A44"/>
    </sheetView>
  </sheetViews>
  <sheetFormatPr baseColWidth="10" defaultColWidth="9.33203125" defaultRowHeight="22" customHeight="1"/>
  <cols>
    <col min="1" max="1" width="64.6640625" style="7" customWidth="1"/>
    <col min="2" max="2" width="14.33203125" style="7" customWidth="1"/>
    <col min="3" max="3" width="14.83203125" style="7" customWidth="1"/>
    <col min="4" max="4" width="13.5" style="7" customWidth="1"/>
    <col min="5" max="5" width="12.83203125" style="7" customWidth="1"/>
    <col min="6" max="6" width="13" style="7" customWidth="1"/>
    <col min="7" max="8" width="12.83203125" style="7" customWidth="1"/>
    <col min="9" max="9" width="13" style="7" customWidth="1"/>
    <col min="10" max="10" width="12.83203125" style="7" customWidth="1"/>
    <col min="11" max="11" width="15.33203125" style="7" customWidth="1"/>
    <col min="12" max="12" width="12.6640625" style="7" customWidth="1"/>
    <col min="13" max="20" width="12.83203125" style="7" customWidth="1"/>
    <col min="21" max="21" width="13.33203125" style="7" bestFit="1" customWidth="1"/>
    <col min="22" max="25" width="12.83203125" style="7" customWidth="1"/>
    <col min="26" max="26" width="14.1640625" style="7" bestFit="1" customWidth="1"/>
    <col min="27" max="16384" width="9.33203125" style="7"/>
  </cols>
  <sheetData>
    <row r="1" spans="1:23" s="1" customFormat="1" ht="22" customHeight="1">
      <c r="A1" s="53" t="s">
        <v>0</v>
      </c>
      <c r="B1" s="54"/>
      <c r="C1" s="54"/>
      <c r="D1" s="54"/>
      <c r="E1" s="54"/>
      <c r="F1" s="54"/>
      <c r="G1" s="54"/>
      <c r="H1" s="54"/>
    </row>
    <row r="2" spans="1:23" s="1" customFormat="1" ht="22" customHeight="1">
      <c r="A2" s="54" t="s">
        <v>162</v>
      </c>
      <c r="B2" s="54"/>
      <c r="C2" s="54"/>
      <c r="D2" s="54"/>
      <c r="E2" s="54"/>
      <c r="F2" s="54"/>
      <c r="G2" s="56"/>
      <c r="H2" s="56"/>
      <c r="J2" s="11"/>
      <c r="K2" s="11"/>
      <c r="O2" s="11"/>
      <c r="P2" s="11"/>
      <c r="T2" s="11"/>
      <c r="U2" s="20"/>
    </row>
    <row r="3" spans="1:23" s="1" customFormat="1" ht="22" customHeight="1">
      <c r="A3" s="54" t="s">
        <v>65</v>
      </c>
      <c r="B3" s="54"/>
      <c r="C3" s="54"/>
      <c r="D3" s="54"/>
      <c r="E3" s="54"/>
      <c r="F3" s="54"/>
      <c r="G3" s="56"/>
      <c r="H3" s="56"/>
      <c r="J3" s="11"/>
      <c r="K3" s="11"/>
      <c r="O3" s="11"/>
      <c r="P3" s="11"/>
      <c r="T3" s="11"/>
      <c r="U3" s="11"/>
    </row>
    <row r="4" spans="1:23" s="1" customFormat="1" ht="22" customHeight="1">
      <c r="A4" s="233" t="s">
        <v>205</v>
      </c>
      <c r="B4" s="234">
        <v>2020</v>
      </c>
      <c r="C4" s="234">
        <v>2021</v>
      </c>
      <c r="D4" s="234">
        <v>2022</v>
      </c>
      <c r="E4" s="234">
        <v>2023</v>
      </c>
      <c r="F4" s="234">
        <v>2024</v>
      </c>
      <c r="G4" s="234">
        <v>2025</v>
      </c>
      <c r="H4" s="267">
        <v>2026</v>
      </c>
      <c r="I4" s="268">
        <v>2027</v>
      </c>
      <c r="J4" s="268">
        <v>2028</v>
      </c>
      <c r="K4" s="268">
        <v>2029</v>
      </c>
      <c r="L4" s="268">
        <v>2030</v>
      </c>
      <c r="M4" s="268">
        <v>2031</v>
      </c>
      <c r="O4" s="9"/>
      <c r="P4" s="9"/>
      <c r="Q4" s="9"/>
      <c r="R4" s="9"/>
      <c r="T4" s="9"/>
      <c r="U4" s="9"/>
      <c r="V4" s="9"/>
      <c r="W4" s="9"/>
    </row>
    <row r="5" spans="1:23" s="1" customFormat="1" ht="22" customHeight="1">
      <c r="A5" s="59" t="s">
        <v>163</v>
      </c>
      <c r="B5" s="71">
        <f>'Base Revenue Driver'!C67</f>
        <v>2131.1672680000001</v>
      </c>
      <c r="C5" s="71">
        <f>'Base Revenue Driver'!D67</f>
        <v>4597.9596160000001</v>
      </c>
      <c r="D5" s="71">
        <f>'Base Revenue Driver'!E67</f>
        <v>8126.7461031500006</v>
      </c>
      <c r="E5" s="71">
        <f>'Base Revenue Driver'!F67</f>
        <v>8767.29131495</v>
      </c>
      <c r="F5" s="71">
        <f>'Base Revenue Driver'!G67</f>
        <v>8785.4199584999988</v>
      </c>
      <c r="G5" s="71">
        <f>'Base Revenue Driver'!H67</f>
        <v>8405.3474000000006</v>
      </c>
      <c r="H5" s="255">
        <f>'Downside Revenue Driver'!I67</f>
        <v>7754.1118059975961</v>
      </c>
      <c r="I5" s="71">
        <f>'Downside Revenue Driver'!J67</f>
        <v>7647.0297462842154</v>
      </c>
      <c r="J5" s="71">
        <f>'Downside Revenue Driver'!K67</f>
        <v>7698.2505944265667</v>
      </c>
      <c r="K5" s="71">
        <f>'Downside Revenue Driver'!L67</f>
        <v>7788.6407645755153</v>
      </c>
      <c r="L5" s="71">
        <f>'Downside Revenue Driver'!M67</f>
        <v>7841.9309349828181</v>
      </c>
      <c r="M5" s="71">
        <f>'Downside Revenue Driver'!N67</f>
        <v>7896.2869087982654</v>
      </c>
    </row>
    <row r="6" spans="1:23" s="1" customFormat="1" ht="22" customHeight="1">
      <c r="A6" s="54" t="s">
        <v>164</v>
      </c>
      <c r="B6" s="71">
        <f>'Base Revenue Driver'!C125</f>
        <v>1967.1709999999998</v>
      </c>
      <c r="C6" s="71">
        <f>'Base Revenue Driver'!D125</f>
        <v>3305.433</v>
      </c>
      <c r="D6" s="71">
        <f>'Base Revenue Driver'!E125</f>
        <v>3670.9100000000003</v>
      </c>
      <c r="E6" s="71">
        <f>'Base Revenue Driver'!F125</f>
        <v>3670.3089999999997</v>
      </c>
      <c r="F6" s="71">
        <f>'Base Revenue Driver'!G125</f>
        <v>3720.3219999999997</v>
      </c>
      <c r="G6" s="71">
        <f>'Base Revenue Driver'!H125</f>
        <v>3772.3329999999996</v>
      </c>
      <c r="H6" s="255">
        <f>'Downside Revenue Driver'!I125</f>
        <v>3563.207699999999</v>
      </c>
      <c r="I6" s="71">
        <f>'Downside Revenue Driver'!J125</f>
        <v>3702.1979329999995</v>
      </c>
      <c r="J6" s="71">
        <f>'Downside Revenue Driver'!K125</f>
        <v>3702.1979329999995</v>
      </c>
      <c r="K6" s="71">
        <f>'Downside Revenue Driver'!L125</f>
        <v>3702.1979329999995</v>
      </c>
      <c r="L6" s="71">
        <f>'Downside Revenue Driver'!M125</f>
        <v>3702.1979329999995</v>
      </c>
      <c r="M6" s="71">
        <f>'Downside Revenue Driver'!N125</f>
        <v>3702.1979329999995</v>
      </c>
    </row>
    <row r="7" spans="1:23" s="2" customFormat="1" ht="22" customHeight="1">
      <c r="A7" s="60" t="s">
        <v>165</v>
      </c>
      <c r="B7" s="71">
        <f>'Base Revenue Driver'!C176</f>
        <v>656.70300000000009</v>
      </c>
      <c r="C7" s="71">
        <f>'Base Revenue Driver'!D176</f>
        <v>1210.761</v>
      </c>
      <c r="D7" s="71">
        <f>'Base Revenue Driver'!E176</f>
        <v>673.59299999999996</v>
      </c>
      <c r="E7" s="71">
        <f>'Base Revenue Driver'!F176</f>
        <v>3153.6089999999999</v>
      </c>
      <c r="F7" s="71">
        <f>'Base Revenue Driver'!G176</f>
        <v>4022.3839999999996</v>
      </c>
      <c r="G7" s="71">
        <f>'Base Revenue Driver'!H176</f>
        <v>4461.7429999999995</v>
      </c>
      <c r="H7" s="255">
        <f>'Downside Revenue Driver'!I176</f>
        <v>3917.7129166666664</v>
      </c>
      <c r="I7" s="71">
        <f>'Downside Revenue Driver'!J176</f>
        <v>4010.4553287499998</v>
      </c>
      <c r="J7" s="71">
        <f>'Downside Revenue Driver'!K176</f>
        <v>3870.0893922437499</v>
      </c>
      <c r="K7" s="71">
        <f>'Downside Revenue Driver'!L176</f>
        <v>3734.6362635152182</v>
      </c>
      <c r="L7" s="71">
        <f>'Downside Revenue Driver'!M176</f>
        <v>3603.9239942921859</v>
      </c>
      <c r="M7" s="71">
        <f>'Downside Revenue Driver'!N176</f>
        <v>3477.7866544919589</v>
      </c>
      <c r="N7" s="14"/>
      <c r="O7" s="14"/>
      <c r="P7" s="14"/>
      <c r="Q7" s="14"/>
      <c r="R7" s="14"/>
      <c r="S7" s="14"/>
      <c r="T7" s="14"/>
      <c r="U7" s="14"/>
      <c r="V7" s="14"/>
      <c r="W7" s="14"/>
    </row>
    <row r="8" spans="1:23" s="1" customFormat="1" ht="22" customHeight="1">
      <c r="A8" s="54" t="s">
        <v>123</v>
      </c>
      <c r="B8" s="71">
        <f>'Base Revenue Driver'!C190</f>
        <v>0</v>
      </c>
      <c r="C8" s="71">
        <f>'Base Revenue Driver'!D190</f>
        <v>0</v>
      </c>
      <c r="D8" s="71">
        <f>'Base Revenue Driver'!E190</f>
        <v>0</v>
      </c>
      <c r="E8" s="71">
        <f>'Base Revenue Driver'!F190</f>
        <v>432.14600000000002</v>
      </c>
      <c r="F8" s="71">
        <f>'Base Revenue Driver'!G190</f>
        <v>552.01199999999994</v>
      </c>
      <c r="G8" s="71">
        <f>'Base Revenue Driver'!H190</f>
        <v>654.19000000000005</v>
      </c>
      <c r="H8" s="259">
        <f>'Downside Revenue Driver'!I190</f>
        <v>667.27380000000005</v>
      </c>
      <c r="I8" s="240">
        <f>'Downside Revenue Driver'!J190</f>
        <v>680.61927600000001</v>
      </c>
      <c r="J8" s="240">
        <f>'Downside Revenue Driver'!K190</f>
        <v>694.23166151999999</v>
      </c>
      <c r="K8" s="240">
        <f>'Downside Revenue Driver'!L190</f>
        <v>708.11629475040002</v>
      </c>
      <c r="L8" s="240">
        <f>'Downside Revenue Driver'!M190</f>
        <v>722.27862064540807</v>
      </c>
      <c r="M8" s="240">
        <f>'Downside Revenue Driver'!N190</f>
        <v>736.72419305831625</v>
      </c>
      <c r="N8" s="14"/>
      <c r="O8" s="14"/>
      <c r="P8" s="14"/>
      <c r="Q8" s="14"/>
      <c r="R8" s="14"/>
      <c r="S8" s="14"/>
      <c r="T8" s="14"/>
      <c r="U8" s="14"/>
      <c r="V8" s="14"/>
      <c r="W8" s="14"/>
    </row>
    <row r="9" spans="1:23" s="1" customFormat="1" ht="22" customHeight="1">
      <c r="A9" s="235" t="s">
        <v>5</v>
      </c>
      <c r="B9" s="139">
        <f t="shared" ref="B9:I9" si="0">SUM(B5:B7)</f>
        <v>4755.0412679999999</v>
      </c>
      <c r="C9" s="139">
        <f t="shared" si="0"/>
        <v>9114.1536159999996</v>
      </c>
      <c r="D9" s="139">
        <f t="shared" si="0"/>
        <v>12471.249103150001</v>
      </c>
      <c r="E9" s="139">
        <f t="shared" si="0"/>
        <v>15591.20931495</v>
      </c>
      <c r="F9" s="139">
        <f t="shared" si="0"/>
        <v>16528.125958499997</v>
      </c>
      <c r="G9" s="139">
        <f t="shared" si="0"/>
        <v>16639.4234</v>
      </c>
      <c r="H9" s="255">
        <f>SUM(H5:H7)</f>
        <v>15235.032422664262</v>
      </c>
      <c r="I9" s="71">
        <f t="shared" si="0"/>
        <v>15359.683008034215</v>
      </c>
      <c r="J9" s="71">
        <f t="shared" ref="J9:M9" si="1">SUM(J5:J7)</f>
        <v>15270.537919670316</v>
      </c>
      <c r="K9" s="71">
        <f t="shared" si="1"/>
        <v>15225.474961090733</v>
      </c>
      <c r="L9" s="71">
        <f t="shared" si="1"/>
        <v>15148.052862275003</v>
      </c>
      <c r="M9" s="71">
        <f t="shared" si="1"/>
        <v>15076.271496290225</v>
      </c>
      <c r="N9" s="14"/>
      <c r="O9" s="14"/>
      <c r="P9" s="14"/>
      <c r="Q9" s="14"/>
      <c r="R9" s="14"/>
      <c r="S9" s="14"/>
      <c r="T9" s="14"/>
      <c r="U9" s="14"/>
      <c r="V9" s="14"/>
      <c r="W9" s="14"/>
    </row>
    <row r="10" spans="1:23" s="1" customFormat="1" ht="22" customHeight="1">
      <c r="A10" s="236" t="s">
        <v>9</v>
      </c>
      <c r="B10" s="237">
        <f>(B9/28590)-1</f>
        <v>-0.83368166253934939</v>
      </c>
      <c r="C10" s="238">
        <f>(C9/B9)-1</f>
        <v>0.91673491402388385</v>
      </c>
      <c r="D10" s="238">
        <f t="shared" ref="D10:M10" si="2">(D9/C9)-1</f>
        <v>0.36833869919161577</v>
      </c>
      <c r="E10" s="238">
        <f t="shared" si="2"/>
        <v>0.25017223102471386</v>
      </c>
      <c r="F10" s="238">
        <f t="shared" si="2"/>
        <v>6.0092621721883566E-2</v>
      </c>
      <c r="G10" s="238">
        <f t="shared" si="2"/>
        <v>6.7338209897152002E-3</v>
      </c>
      <c r="H10" s="257">
        <f t="shared" si="2"/>
        <v>-8.440142086508462E-2</v>
      </c>
      <c r="I10" s="238">
        <f t="shared" si="2"/>
        <v>8.1818391921841815E-3</v>
      </c>
      <c r="J10" s="238">
        <f t="shared" si="2"/>
        <v>-5.8038364670202069E-3</v>
      </c>
      <c r="K10" s="238">
        <f t="shared" si="2"/>
        <v>-2.9509738829525123E-3</v>
      </c>
      <c r="L10" s="238">
        <f t="shared" si="2"/>
        <v>-5.0850366910447642E-3</v>
      </c>
      <c r="M10" s="238">
        <f t="shared" si="2"/>
        <v>-4.7386529897543994E-3</v>
      </c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spans="1:23" s="1" customFormat="1" ht="22" customHeight="1">
      <c r="A11" s="54"/>
      <c r="B11" s="54"/>
      <c r="C11" s="54"/>
      <c r="D11" s="54"/>
      <c r="E11" s="54"/>
      <c r="F11" s="54"/>
      <c r="G11" s="54"/>
      <c r="H11" s="258"/>
      <c r="I11" s="54"/>
      <c r="J11" s="71"/>
      <c r="K11" s="71"/>
      <c r="L11" s="71"/>
      <c r="M11" s="71"/>
      <c r="N11" s="14"/>
      <c r="O11" s="14"/>
      <c r="P11" s="14"/>
      <c r="Q11" s="14"/>
      <c r="R11" s="14"/>
      <c r="S11" s="14"/>
      <c r="T11" s="14"/>
      <c r="U11" s="14"/>
      <c r="V11" s="14"/>
      <c r="W11" s="14"/>
    </row>
    <row r="12" spans="1:23" s="1" customFormat="1" ht="22" customHeight="1">
      <c r="A12" s="59" t="s">
        <v>166</v>
      </c>
      <c r="B12" s="71">
        <f>'Base Revenue Driver'!C70</f>
        <v>-628.89425776286839</v>
      </c>
      <c r="C12" s="71">
        <f>'Base Revenue Driver'!D70</f>
        <v>2141.5255317847868</v>
      </c>
      <c r="D12" s="71">
        <f>'Base Revenue Driver'!E70</f>
        <v>-349.61576067760711</v>
      </c>
      <c r="E12" s="71">
        <f>'Base Revenue Driver'!F70</f>
        <v>1506.4587141370534</v>
      </c>
      <c r="F12" s="71">
        <f>'Base Revenue Driver'!G70</f>
        <v>1517.5912437307238</v>
      </c>
      <c r="G12" s="71">
        <f>'Base Revenue Driver'!H70</f>
        <v>1265.5169024285922</v>
      </c>
      <c r="H12" s="255">
        <f>'Downside Revenue Driver'!I70</f>
        <v>775.41118059975963</v>
      </c>
      <c r="I12" s="71">
        <f>'Downside Revenue Driver'!J70</f>
        <v>841.1732720912637</v>
      </c>
      <c r="J12" s="71">
        <f>'Downside Revenue Driver'!K70</f>
        <v>923.79007133118796</v>
      </c>
      <c r="K12" s="71">
        <f>'Downside Revenue Driver'!L70</f>
        <v>934.63689174906176</v>
      </c>
      <c r="L12" s="71">
        <f>'Downside Revenue Driver'!M70</f>
        <v>941.03171219793819</v>
      </c>
      <c r="M12" s="71">
        <f>'Downside Revenue Driver'!N70</f>
        <v>947.55442905579184</v>
      </c>
      <c r="N12" s="71"/>
      <c r="O12" s="14"/>
      <c r="P12" s="14"/>
      <c r="Q12" s="14"/>
      <c r="R12" s="14"/>
      <c r="S12" s="14"/>
      <c r="T12" s="14"/>
      <c r="U12" s="14"/>
      <c r="V12" s="14"/>
      <c r="W12" s="14"/>
    </row>
    <row r="13" spans="1:23" s="1" customFormat="1" ht="22" customHeight="1">
      <c r="A13" s="54" t="s">
        <v>167</v>
      </c>
      <c r="B13" s="71">
        <f>'Base Revenue Driver'!C128</f>
        <v>-450.83078742476221</v>
      </c>
      <c r="C13" s="71">
        <f>'Base Revenue Driver'!D128</f>
        <v>498.36022647211701</v>
      </c>
      <c r="D13" s="71">
        <f>'Base Revenue Driver'!E128</f>
        <v>388.68687645062948</v>
      </c>
      <c r="E13" s="71">
        <f>'Base Revenue Driver'!F128</f>
        <v>428.20054798294848</v>
      </c>
      <c r="F13" s="71">
        <f>'Base Revenue Driver'!G128</f>
        <v>470.68979625434247</v>
      </c>
      <c r="G13" s="71">
        <f>'Base Revenue Driver'!H128</f>
        <v>448.5751041580935</v>
      </c>
      <c r="H13" s="255">
        <f>'Downside Revenue Driver'!I128</f>
        <v>249.42453899999995</v>
      </c>
      <c r="I13" s="71">
        <f>'Downside Revenue Driver'!J128</f>
        <v>296.17583463999995</v>
      </c>
      <c r="J13" s="71">
        <f>'Downside Revenue Driver'!K128</f>
        <v>333.19781396999991</v>
      </c>
      <c r="K13" s="71">
        <f>'Downside Revenue Driver'!L128</f>
        <v>333.19781396999991</v>
      </c>
      <c r="L13" s="71">
        <f>'Downside Revenue Driver'!M128</f>
        <v>333.19781396999991</v>
      </c>
      <c r="M13" s="71">
        <f>'Downside Revenue Driver'!N128</f>
        <v>333.19781396999991</v>
      </c>
      <c r="N13" s="14"/>
      <c r="O13" s="14"/>
      <c r="P13" s="14"/>
      <c r="Q13" s="14"/>
      <c r="R13" s="14"/>
      <c r="S13" s="14"/>
      <c r="T13" s="14"/>
      <c r="U13" s="14"/>
      <c r="V13" s="14"/>
      <c r="W13" s="14"/>
    </row>
    <row r="14" spans="1:23" s="1" customFormat="1" ht="22" customHeight="1">
      <c r="A14" s="60" t="s">
        <v>168</v>
      </c>
      <c r="B14" s="71">
        <f>'Base Revenue Driver'!C179</f>
        <v>-459.16795481236949</v>
      </c>
      <c r="C14" s="71">
        <f>'Base Revenue Driver'!D179</f>
        <v>-238.16475825690401</v>
      </c>
      <c r="D14" s="71">
        <f>'Base Revenue Driver'!E179</f>
        <v>-369.37187786706602</v>
      </c>
      <c r="E14" s="71">
        <f>'Base Revenue Driver'!F179</f>
        <v>261.14163582983292</v>
      </c>
      <c r="F14" s="71">
        <f>'Base Revenue Driver'!G179</f>
        <v>359.62815113442514</v>
      </c>
      <c r="G14" s="71">
        <f>'Base Revenue Driver'!H179</f>
        <v>357.93641173582603</v>
      </c>
      <c r="H14" s="255">
        <f>'Downside Revenue Driver'!I179</f>
        <v>156.70851666666667</v>
      </c>
      <c r="I14" s="71">
        <f>'Base Revenue Driver'!J179</f>
        <v>395.93833705238205</v>
      </c>
      <c r="J14" s="71">
        <f>'Base Revenue Driver'!K179</f>
        <v>415.73525390500123</v>
      </c>
      <c r="K14" s="71">
        <f>'Base Revenue Driver'!L179</f>
        <v>436.52201660025133</v>
      </c>
      <c r="L14" s="71">
        <f>'Base Revenue Driver'!M179</f>
        <v>458.34811743026387</v>
      </c>
      <c r="M14" s="71">
        <f>'Base Revenue Driver'!N179</f>
        <v>481.26552330177714</v>
      </c>
      <c r="N14" s="14"/>
      <c r="O14" s="14"/>
      <c r="P14" s="14"/>
      <c r="Q14" s="14"/>
      <c r="R14" s="14"/>
      <c r="S14" s="14"/>
      <c r="T14" s="14"/>
      <c r="U14" s="14"/>
      <c r="V14" s="14"/>
      <c r="W14" s="14"/>
    </row>
    <row r="15" spans="1:23" s="1" customFormat="1" ht="22" customHeight="1">
      <c r="A15" s="54" t="s">
        <v>169</v>
      </c>
      <c r="B15" s="71">
        <f>'Base Revenue Driver'!C193</f>
        <v>0</v>
      </c>
      <c r="C15" s="71">
        <f>'Base Revenue Driver'!D193</f>
        <v>0</v>
      </c>
      <c r="D15" s="71">
        <f>'Base Revenue Driver'!E193</f>
        <v>0</v>
      </c>
      <c r="E15" s="71">
        <f>'Base Revenue Driver'!F193</f>
        <v>-115.43089794983493</v>
      </c>
      <c r="F15" s="71">
        <f>'Base Revenue Driver'!G193</f>
        <v>-177.06519111949126</v>
      </c>
      <c r="G15" s="71">
        <f>'Base Revenue Driver'!H193</f>
        <v>-214.24041832251208</v>
      </c>
      <c r="H15" s="255">
        <f>'Base Revenue Driver'!I193</f>
        <v>-109.41327750000001</v>
      </c>
      <c r="I15" s="71">
        <f>'Base Revenue Driver'!J193</f>
        <v>-73.19748264750001</v>
      </c>
      <c r="J15" s="71">
        <f>'Base Revenue Driver'!K193</f>
        <v>-54.410128767975003</v>
      </c>
      <c r="K15" s="71">
        <f>'Base Revenue Driver'!L193</f>
        <v>-30.333646788146062</v>
      </c>
      <c r="L15" s="71">
        <f>'Base Revenue Driver'!M193</f>
        <v>33.822016168782859</v>
      </c>
      <c r="M15" s="71">
        <f>'Base Revenue Driver'!N193</f>
        <v>50.28206403759053</v>
      </c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 spans="1:23" s="1" customFormat="1" ht="22" customHeight="1">
      <c r="A16" s="54" t="s">
        <v>10</v>
      </c>
      <c r="B16" s="71">
        <f>'Base Revenue Driver'!C196</f>
        <v>896</v>
      </c>
      <c r="C16" s="71">
        <f>'Base Revenue Driver'!D196</f>
        <v>-123.02200000000001</v>
      </c>
      <c r="D16" s="71">
        <f>'Base Revenue Driver'!E196</f>
        <v>1769.67</v>
      </c>
      <c r="E16" s="71">
        <f>'Base Revenue Driver'!F196</f>
        <v>-189</v>
      </c>
      <c r="F16" s="71">
        <f>'Base Revenue Driver'!G196</f>
        <v>-680</v>
      </c>
      <c r="G16" s="71">
        <f>'Base Revenue Driver'!H196</f>
        <v>-856</v>
      </c>
      <c r="H16" s="259">
        <f>'Downside Revenue Driver'!I193</f>
        <v>-133.45476000000002</v>
      </c>
      <c r="I16" s="71">
        <f>'Downside Revenue Driver'!J193</f>
        <v>-102.0928914</v>
      </c>
      <c r="J16" s="71">
        <f>'Downside Revenue Driver'!K193</f>
        <v>-48.596216306400002</v>
      </c>
      <c r="K16" s="71">
        <f>'Downside Revenue Driver'!L193</f>
        <v>14.162325895008001</v>
      </c>
      <c r="L16" s="71">
        <f>'Downside Revenue Driver'!M193</f>
        <v>21.668358619362241</v>
      </c>
      <c r="M16" s="71">
        <f>'Downside Revenue Driver'!N193</f>
        <v>29.46896772233265</v>
      </c>
      <c r="N16" s="14"/>
      <c r="O16" s="14"/>
      <c r="P16" s="14"/>
      <c r="Q16" s="14"/>
      <c r="R16" s="14"/>
      <c r="S16" s="14"/>
      <c r="T16" s="14"/>
      <c r="U16" s="14"/>
      <c r="V16" s="14"/>
      <c r="W16" s="14"/>
    </row>
    <row r="17" spans="1:25" s="2" customFormat="1" ht="22" customHeight="1">
      <c r="A17" s="235" t="s">
        <v>13</v>
      </c>
      <c r="B17" s="139">
        <f>SUM(B12:B16)</f>
        <v>-642.89300000000026</v>
      </c>
      <c r="C17" s="139">
        <f t="shared" ref="C17:M17" si="3">SUM(C12:C16)</f>
        <v>2278.6990000000001</v>
      </c>
      <c r="D17" s="139">
        <f t="shared" si="3"/>
        <v>1439.3692379059564</v>
      </c>
      <c r="E17" s="139">
        <f t="shared" si="3"/>
        <v>1891.37</v>
      </c>
      <c r="F17" s="139">
        <f t="shared" si="3"/>
        <v>1490.8440000000001</v>
      </c>
      <c r="G17" s="139">
        <f t="shared" si="3"/>
        <v>1001.7879999999996</v>
      </c>
      <c r="H17" s="256">
        <f t="shared" si="3"/>
        <v>938.67619876642607</v>
      </c>
      <c r="I17" s="139">
        <f t="shared" si="3"/>
        <v>1357.9970697361457</v>
      </c>
      <c r="J17" s="139">
        <f t="shared" si="3"/>
        <v>1569.7167941318139</v>
      </c>
      <c r="K17" s="139">
        <f t="shared" si="3"/>
        <v>1688.1854014261751</v>
      </c>
      <c r="L17" s="139">
        <f t="shared" si="3"/>
        <v>1788.0680183863471</v>
      </c>
      <c r="M17" s="139">
        <f t="shared" si="3"/>
        <v>1841.7687980874921</v>
      </c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 spans="1:25" s="4" customFormat="1" ht="22" customHeight="1">
      <c r="A18" s="239" t="s">
        <v>35</v>
      </c>
      <c r="B18" s="240">
        <f>'Base Revenue Driver'!C200</f>
        <v>-538.89300000000026</v>
      </c>
      <c r="C18" s="240">
        <f>'Base Revenue Driver'!D200</f>
        <v>784.69900000000007</v>
      </c>
      <c r="D18" s="240">
        <f>'Base Revenue Driver'!E200</f>
        <v>369.36923790595642</v>
      </c>
      <c r="E18" s="240">
        <f>'Base Revenue Driver'!F200</f>
        <v>1492.37</v>
      </c>
      <c r="F18" s="240">
        <f>'Base Revenue Driver'!G200</f>
        <v>1490.8440000000001</v>
      </c>
      <c r="G18" s="240">
        <f>'Base Revenue Driver'!H200</f>
        <v>1373.7879999999996</v>
      </c>
      <c r="H18" s="259">
        <f>'Base Revenue Driver'!I200</f>
        <v>1315.643564782632</v>
      </c>
      <c r="I18" s="240">
        <f>'Base Revenue Driver'!J200</f>
        <v>1456.8326824911055</v>
      </c>
      <c r="J18" s="240">
        <f>'Base Revenue Driver'!K200</f>
        <v>1552.4849671007428</v>
      </c>
      <c r="K18" s="240">
        <f>'Base Revenue Driver'!L200</f>
        <v>1663.5903322379118</v>
      </c>
      <c r="L18" s="240">
        <f>'Base Revenue Driver'!M200</f>
        <v>1810.5233191692237</v>
      </c>
      <c r="M18" s="240">
        <f>'Base Revenue Driver'!N200</f>
        <v>1912.7613625660329</v>
      </c>
    </row>
    <row r="19" spans="1:25" s="4" customFormat="1" ht="22" customHeight="1">
      <c r="A19" s="64"/>
      <c r="B19" s="64"/>
      <c r="C19" s="64"/>
      <c r="D19" s="64"/>
      <c r="E19" s="64"/>
      <c r="F19" s="64"/>
      <c r="G19" s="64"/>
      <c r="H19" s="260"/>
      <c r="I19" s="64"/>
      <c r="J19" s="66"/>
      <c r="K19" s="66"/>
      <c r="L19" s="66"/>
      <c r="M19" s="66"/>
    </row>
    <row r="20" spans="1:25" s="2" customFormat="1" ht="22" customHeight="1">
      <c r="A20" s="68" t="s">
        <v>6</v>
      </c>
      <c r="B20" s="71">
        <v>676.38</v>
      </c>
      <c r="C20" s="74">
        <v>799.59299999999996</v>
      </c>
      <c r="D20" s="178">
        <v>594.95399999999995</v>
      </c>
      <c r="E20" s="202">
        <v>460.29300000000001</v>
      </c>
      <c r="F20" s="71">
        <v>443.23</v>
      </c>
      <c r="G20" s="71">
        <v>419.04199999999997</v>
      </c>
      <c r="H20" s="255">
        <f>AVERAGE(E20:G20)</f>
        <v>440.85500000000002</v>
      </c>
      <c r="I20" s="71">
        <f>$H$20</f>
        <v>440.85500000000002</v>
      </c>
      <c r="J20" s="71">
        <f>$H$20</f>
        <v>440.85500000000002</v>
      </c>
      <c r="K20" s="71">
        <f>$H$20</f>
        <v>440.85500000000002</v>
      </c>
      <c r="L20" s="71">
        <f>$H$20</f>
        <v>440.85500000000002</v>
      </c>
      <c r="M20" s="71">
        <f>$H$20</f>
        <v>440.85500000000002</v>
      </c>
    </row>
    <row r="21" spans="1:25" s="2" customFormat="1" ht="22" customHeight="1">
      <c r="A21" s="64" t="s">
        <v>173</v>
      </c>
      <c r="B21" s="178">
        <v>-103.304</v>
      </c>
      <c r="C21" s="178">
        <v>-83.242999999999995</v>
      </c>
      <c r="D21" s="178">
        <v>-23.457000000000001</v>
      </c>
      <c r="E21" s="71">
        <v>-1.032</v>
      </c>
      <c r="F21" s="71">
        <v>-0.73399999999999999</v>
      </c>
      <c r="G21" s="178">
        <v>1.135</v>
      </c>
      <c r="H21" s="255">
        <v>0</v>
      </c>
      <c r="I21" s="71">
        <v>0</v>
      </c>
      <c r="J21" s="71">
        <v>0</v>
      </c>
      <c r="K21" s="71">
        <v>0</v>
      </c>
      <c r="L21" s="71">
        <v>0</v>
      </c>
      <c r="M21" s="71">
        <v>0</v>
      </c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 spans="1:25" s="2" customFormat="1" ht="22" customHeight="1">
      <c r="A22" s="64" t="s">
        <v>174</v>
      </c>
      <c r="B22" s="71">
        <v>-89.361000000000004</v>
      </c>
      <c r="C22" s="71">
        <v>65.941000000000003</v>
      </c>
      <c r="D22" s="71">
        <v>82.837999999999994</v>
      </c>
      <c r="E22" s="71">
        <v>42.591000000000001</v>
      </c>
      <c r="F22" s="71">
        <v>70.572999999999993</v>
      </c>
      <c r="G22" s="71">
        <v>-303.09399999999999</v>
      </c>
      <c r="H22" s="255">
        <v>0</v>
      </c>
      <c r="I22" s="71">
        <v>0</v>
      </c>
      <c r="J22" s="71">
        <v>0</v>
      </c>
      <c r="K22" s="71">
        <v>0</v>
      </c>
      <c r="L22" s="71">
        <v>0</v>
      </c>
      <c r="M22" s="71">
        <v>0</v>
      </c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spans="1:25" s="2" customFormat="1" ht="22" customHeight="1">
      <c r="A23" s="68" t="s">
        <v>7</v>
      </c>
      <c r="B23" s="71">
        <f>B18-B20+B21+B22</f>
        <v>-1407.9380000000003</v>
      </c>
      <c r="C23" s="71">
        <f t="shared" ref="C23:M23" si="4">C18-C20+C21+C22</f>
        <v>-32.195999999999884</v>
      </c>
      <c r="D23" s="71">
        <f t="shared" si="4"/>
        <v>-166.20376209404353</v>
      </c>
      <c r="E23" s="71">
        <f t="shared" si="4"/>
        <v>1073.6359999999997</v>
      </c>
      <c r="F23" s="71">
        <f t="shared" si="4"/>
        <v>1117.4530000000002</v>
      </c>
      <c r="G23" s="71">
        <f t="shared" si="4"/>
        <v>652.78699999999958</v>
      </c>
      <c r="H23" s="255">
        <f>H18-H20+H21+H22</f>
        <v>874.78856478263197</v>
      </c>
      <c r="I23" s="71">
        <f t="shared" si="4"/>
        <v>1015.9776824911055</v>
      </c>
      <c r="J23" s="71">
        <f t="shared" si="4"/>
        <v>1111.6299671007428</v>
      </c>
      <c r="K23" s="71">
        <f t="shared" si="4"/>
        <v>1222.7353322379117</v>
      </c>
      <c r="L23" s="71">
        <f t="shared" si="4"/>
        <v>1369.6683191692237</v>
      </c>
      <c r="M23" s="71">
        <f t="shared" si="4"/>
        <v>1471.9063625660328</v>
      </c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spans="1:25" s="5" customFormat="1" ht="22" customHeight="1">
      <c r="A24" s="68" t="s">
        <v>14</v>
      </c>
      <c r="B24" s="71">
        <v>191.572</v>
      </c>
      <c r="C24" s="71">
        <v>-253.41499999999999</v>
      </c>
      <c r="D24" s="71">
        <v>-697.06799999999998</v>
      </c>
      <c r="E24" s="71">
        <v>-157.839</v>
      </c>
      <c r="F24" s="71">
        <v>-52.457000000000001</v>
      </c>
      <c r="G24" s="71">
        <v>240.09299999999999</v>
      </c>
      <c r="H24" s="255">
        <f>0</f>
        <v>0</v>
      </c>
      <c r="I24" s="71">
        <f t="shared" ref="I24:M24" si="5">H24</f>
        <v>0</v>
      </c>
      <c r="J24" s="71">
        <f t="shared" si="5"/>
        <v>0</v>
      </c>
      <c r="K24" s="71">
        <f t="shared" si="5"/>
        <v>0</v>
      </c>
      <c r="L24" s="71">
        <f t="shared" si="5"/>
        <v>0</v>
      </c>
      <c r="M24" s="71">
        <f t="shared" si="5"/>
        <v>0</v>
      </c>
    </row>
    <row r="25" spans="1:25" s="13" customFormat="1" ht="22" customHeight="1">
      <c r="A25" s="64" t="s">
        <v>175</v>
      </c>
      <c r="B25" s="71">
        <v>287.18299999999999</v>
      </c>
      <c r="C25" s="71">
        <v>45.981000000000002</v>
      </c>
      <c r="D25" s="71">
        <v>1266.3620000000001</v>
      </c>
      <c r="E25" s="71">
        <v>-172.744</v>
      </c>
      <c r="F25" s="71">
        <v>-318.05</v>
      </c>
      <c r="G25" s="71">
        <f>-315.01</f>
        <v>-315.01</v>
      </c>
      <c r="H25" s="255">
        <v>0</v>
      </c>
      <c r="I25" s="71">
        <v>0</v>
      </c>
      <c r="J25" s="71">
        <v>0</v>
      </c>
      <c r="K25" s="71">
        <v>0</v>
      </c>
      <c r="L25" s="71">
        <v>0</v>
      </c>
      <c r="M25" s="71">
        <v>0</v>
      </c>
      <c r="N25" s="207"/>
    </row>
    <row r="26" spans="1:25" s="13" customFormat="1" ht="22" customHeight="1">
      <c r="A26" s="64"/>
      <c r="B26" s="71"/>
      <c r="C26" s="71"/>
      <c r="D26" s="71"/>
      <c r="E26" s="71"/>
      <c r="F26" s="71"/>
      <c r="G26" s="71"/>
      <c r="H26" s="255"/>
      <c r="I26" s="71"/>
      <c r="J26" s="71"/>
      <c r="K26" s="71"/>
      <c r="L26" s="71"/>
      <c r="M26" s="71"/>
      <c r="N26" s="207"/>
    </row>
    <row r="27" spans="1:25" s="1" customFormat="1" ht="22" customHeight="1">
      <c r="A27" s="241" t="s">
        <v>170</v>
      </c>
      <c r="B27" s="242">
        <f t="shared" ref="B27:M27" si="6">B23+B24+B25</f>
        <v>-929.18300000000045</v>
      </c>
      <c r="C27" s="242">
        <f t="shared" si="6"/>
        <v>-239.62999999999988</v>
      </c>
      <c r="D27" s="242">
        <f t="shared" si="6"/>
        <v>403.09023790595654</v>
      </c>
      <c r="E27" s="242">
        <f t="shared" si="6"/>
        <v>743.05299999999977</v>
      </c>
      <c r="F27" s="242">
        <f t="shared" si="6"/>
        <v>746.94600000000014</v>
      </c>
      <c r="G27" s="242">
        <f t="shared" si="6"/>
        <v>577.86999999999955</v>
      </c>
      <c r="H27" s="261">
        <f t="shared" si="6"/>
        <v>874.78856478263197</v>
      </c>
      <c r="I27" s="242">
        <f t="shared" si="6"/>
        <v>1015.9776824911055</v>
      </c>
      <c r="J27" s="242">
        <f t="shared" si="6"/>
        <v>1111.6299671007428</v>
      </c>
      <c r="K27" s="242">
        <f t="shared" si="6"/>
        <v>1222.7353322379117</v>
      </c>
      <c r="L27" s="242">
        <f t="shared" si="6"/>
        <v>1369.6683191692237</v>
      </c>
      <c r="M27" s="242">
        <f t="shared" si="6"/>
        <v>1471.9063625660328</v>
      </c>
    </row>
    <row r="28" spans="1:25" s="4" customFormat="1" ht="22" customHeight="1">
      <c r="A28" s="66"/>
      <c r="B28" s="71"/>
      <c r="C28" s="71"/>
      <c r="D28" s="71"/>
      <c r="E28" s="71"/>
      <c r="F28" s="71"/>
      <c r="G28" s="71"/>
      <c r="H28" s="255"/>
      <c r="I28" s="71"/>
      <c r="J28" s="71"/>
      <c r="K28" s="71"/>
      <c r="L28" s="71"/>
      <c r="M28" s="71"/>
      <c r="N28" s="1"/>
      <c r="O28" s="5"/>
      <c r="P28" s="5"/>
      <c r="Q28" s="5"/>
      <c r="R28" s="5"/>
      <c r="S28" s="2"/>
    </row>
    <row r="29" spans="1:25" s="5" customFormat="1" ht="22" customHeight="1">
      <c r="A29" s="62" t="s">
        <v>11</v>
      </c>
      <c r="B29" s="71">
        <v>1210.556</v>
      </c>
      <c r="C29" s="71">
        <v>1150.6099999999999</v>
      </c>
      <c r="D29" s="71">
        <v>3482.05</v>
      </c>
      <c r="E29" s="71">
        <v>814.12800000000004</v>
      </c>
      <c r="F29" s="178">
        <v>831.09699999999998</v>
      </c>
      <c r="G29" s="71">
        <v>1017.794</v>
      </c>
      <c r="H29" s="255">
        <f>+G29*(1+H10)</f>
        <v>931.89074025204206</v>
      </c>
      <c r="I29" s="71">
        <f>+H29*(1+I10)</f>
        <v>939.5153204334697</v>
      </c>
      <c r="J29" s="71">
        <f t="shared" ref="J29:M29" si="7">+I29*(1+J10)</f>
        <v>934.0625271554137</v>
      </c>
      <c r="K29" s="71">
        <f t="shared" si="7"/>
        <v>931.30613303273344</v>
      </c>
      <c r="L29" s="71">
        <f t="shared" si="7"/>
        <v>926.57040717566701</v>
      </c>
      <c r="M29" s="71">
        <f t="shared" si="7"/>
        <v>922.17971154548604</v>
      </c>
      <c r="N29" s="14"/>
      <c r="O29" s="14"/>
      <c r="P29" s="14"/>
      <c r="Q29" s="14"/>
      <c r="R29" s="14"/>
      <c r="S29" s="2"/>
      <c r="Y29" s="36"/>
    </row>
    <row r="30" spans="1:25" s="5" customFormat="1" ht="22" customHeight="1">
      <c r="A30" s="243" t="s">
        <v>44</v>
      </c>
      <c r="B30" s="139">
        <f t="shared" ref="B30:M30" si="8">B29+B18</f>
        <v>671.66299999999978</v>
      </c>
      <c r="C30" s="139">
        <f t="shared" si="8"/>
        <v>1935.309</v>
      </c>
      <c r="D30" s="139">
        <f>D29+D18</f>
        <v>3851.4192379059568</v>
      </c>
      <c r="E30" s="139">
        <f t="shared" si="8"/>
        <v>2306.498</v>
      </c>
      <c r="F30" s="139">
        <f t="shared" si="8"/>
        <v>2321.9409999999998</v>
      </c>
      <c r="G30" s="139">
        <f t="shared" si="8"/>
        <v>2391.5819999999994</v>
      </c>
      <c r="H30" s="256">
        <f>H29+H18</f>
        <v>2247.5343050346742</v>
      </c>
      <c r="I30" s="139">
        <f t="shared" si="8"/>
        <v>2396.3480029245752</v>
      </c>
      <c r="J30" s="139">
        <f t="shared" si="8"/>
        <v>2486.5474942561564</v>
      </c>
      <c r="K30" s="139">
        <f t="shared" si="8"/>
        <v>2594.8964652706454</v>
      </c>
      <c r="L30" s="139">
        <f t="shared" si="8"/>
        <v>2737.0937263448905</v>
      </c>
      <c r="M30" s="139">
        <f t="shared" si="8"/>
        <v>2834.9410741115189</v>
      </c>
      <c r="N30" s="22"/>
      <c r="O30" s="22"/>
      <c r="P30" s="22"/>
      <c r="Q30" s="22"/>
      <c r="R30" s="22"/>
      <c r="S30" s="2"/>
      <c r="Y30" s="38"/>
    </row>
    <row r="31" spans="1:25" s="4" customFormat="1" ht="22" customHeight="1">
      <c r="A31" s="244" t="s">
        <v>12</v>
      </c>
      <c r="B31" s="245">
        <f t="shared" ref="B31:M31" si="9">B30/B9</f>
        <v>0.14125282245605103</v>
      </c>
      <c r="C31" s="245">
        <f t="shared" si="9"/>
        <v>0.21234105563050235</v>
      </c>
      <c r="D31" s="245">
        <f t="shared" si="9"/>
        <v>0.308823856058906</v>
      </c>
      <c r="E31" s="245">
        <f t="shared" si="9"/>
        <v>0.14793579852644015</v>
      </c>
      <c r="F31" s="245">
        <f t="shared" si="9"/>
        <v>0.14048422705817318</v>
      </c>
      <c r="G31" s="245">
        <f t="shared" si="9"/>
        <v>0.14372986025465279</v>
      </c>
      <c r="H31" s="262">
        <f>H30/H9</f>
        <v>0.14752409070630854</v>
      </c>
      <c r="I31" s="245">
        <f t="shared" si="9"/>
        <v>0.15601545954243415</v>
      </c>
      <c r="J31" s="245">
        <f t="shared" si="9"/>
        <v>0.16283299955355074</v>
      </c>
      <c r="K31" s="245">
        <f t="shared" si="9"/>
        <v>0.17043123264804544</v>
      </c>
      <c r="L31" s="245">
        <f t="shared" si="9"/>
        <v>0.18068947548773087</v>
      </c>
      <c r="M31" s="245">
        <f t="shared" si="9"/>
        <v>0.18803993247329784</v>
      </c>
      <c r="N31" s="22"/>
      <c r="O31" s="22"/>
      <c r="P31" s="22"/>
      <c r="Q31" s="22"/>
      <c r="R31" s="22"/>
      <c r="S31" s="5"/>
      <c r="W31" s="5"/>
    </row>
    <row r="32" spans="1:25" s="1" customFormat="1" ht="22" customHeight="1">
      <c r="A32" s="65" t="s">
        <v>15</v>
      </c>
      <c r="B32" s="65">
        <f t="shared" ref="B32:M32" si="10">B53*B50</f>
        <v>816.8655</v>
      </c>
      <c r="C32" s="65">
        <f t="shared" si="10"/>
        <v>741.56418000000008</v>
      </c>
      <c r="D32" s="65">
        <f t="shared" si="10"/>
        <v>494.82326400000005</v>
      </c>
      <c r="E32" s="65">
        <f t="shared" si="10"/>
        <v>445.97262000000001</v>
      </c>
      <c r="F32" s="65">
        <f t="shared" si="10"/>
        <v>343.55620800000003</v>
      </c>
      <c r="G32" s="65">
        <f t="shared" si="10"/>
        <v>373.81205999999997</v>
      </c>
      <c r="H32" s="263">
        <f t="shared" si="10"/>
        <v>293.00691599999999</v>
      </c>
      <c r="I32" s="65">
        <f t="shared" si="10"/>
        <v>218.07860099999999</v>
      </c>
      <c r="J32" s="65">
        <f t="shared" si="10"/>
        <v>136.85030399999999</v>
      </c>
      <c r="K32" s="65">
        <f t="shared" si="10"/>
        <v>128.16472100000001</v>
      </c>
      <c r="L32" s="65">
        <f t="shared" si="10"/>
        <v>102.951401</v>
      </c>
      <c r="M32" s="65">
        <f t="shared" si="10"/>
        <v>142.87262400000003</v>
      </c>
      <c r="N32" s="22"/>
      <c r="O32" s="22"/>
      <c r="P32" s="22"/>
      <c r="Q32" s="22"/>
      <c r="R32" s="22"/>
      <c r="S32" s="13"/>
      <c r="W32" s="5"/>
    </row>
    <row r="33" spans="1:25" s="1" customFormat="1" ht="22" customHeight="1">
      <c r="A33" s="62" t="s">
        <v>16</v>
      </c>
      <c r="B33" s="66">
        <v>271</v>
      </c>
      <c r="C33" s="66">
        <v>491</v>
      </c>
      <c r="D33" s="66">
        <v>765</v>
      </c>
      <c r="E33" s="66">
        <v>932</v>
      </c>
      <c r="F33" s="66">
        <v>1200</v>
      </c>
      <c r="G33" s="66">
        <f>1100</f>
        <v>1100</v>
      </c>
      <c r="H33" s="264">
        <f>1050</f>
        <v>1050</v>
      </c>
      <c r="I33" s="75">
        <f>$H$33</f>
        <v>1050</v>
      </c>
      <c r="J33" s="75">
        <f t="shared" ref="J33:M33" si="11">$H$33</f>
        <v>1050</v>
      </c>
      <c r="K33" s="75">
        <f t="shared" si="11"/>
        <v>1050</v>
      </c>
      <c r="L33" s="75">
        <f t="shared" si="11"/>
        <v>1050</v>
      </c>
      <c r="M33" s="75">
        <f t="shared" si="11"/>
        <v>1050</v>
      </c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5" s="1" customFormat="1" ht="22" customHeight="1">
      <c r="A34" s="54" t="s">
        <v>17</v>
      </c>
      <c r="B34" s="54">
        <f>B20</f>
        <v>676.38</v>
      </c>
      <c r="C34" s="54">
        <f t="shared" ref="C34:M34" si="12">C20</f>
        <v>799.59299999999996</v>
      </c>
      <c r="D34" s="54">
        <f t="shared" si="12"/>
        <v>594.95399999999995</v>
      </c>
      <c r="E34" s="54">
        <f t="shared" si="12"/>
        <v>460.29300000000001</v>
      </c>
      <c r="F34" s="54">
        <f t="shared" si="12"/>
        <v>443.23</v>
      </c>
      <c r="G34" s="54">
        <f t="shared" si="12"/>
        <v>419.04199999999997</v>
      </c>
      <c r="H34" s="258">
        <f t="shared" si="12"/>
        <v>440.85500000000002</v>
      </c>
      <c r="I34" s="54">
        <f t="shared" si="12"/>
        <v>440.85500000000002</v>
      </c>
      <c r="J34" s="54">
        <f t="shared" si="12"/>
        <v>440.85500000000002</v>
      </c>
      <c r="K34" s="54">
        <f t="shared" si="12"/>
        <v>440.85500000000002</v>
      </c>
      <c r="L34" s="54">
        <f t="shared" si="12"/>
        <v>440.85500000000002</v>
      </c>
      <c r="M34" s="54">
        <f t="shared" si="12"/>
        <v>440.85500000000002</v>
      </c>
      <c r="N34" s="22"/>
      <c r="O34" s="22"/>
      <c r="P34" s="22"/>
      <c r="Q34" s="22"/>
      <c r="R34" s="22"/>
    </row>
    <row r="35" spans="1:25" s="1" customFormat="1" ht="22" customHeight="1">
      <c r="A35" s="253" t="s">
        <v>18</v>
      </c>
      <c r="B35" s="242">
        <f t="shared" ref="B35:M35" si="13">B30-B32-B33-B34</f>
        <v>-1092.5825000000002</v>
      </c>
      <c r="C35" s="242">
        <f t="shared" si="13"/>
        <v>-96.84818000000007</v>
      </c>
      <c r="D35" s="242">
        <f t="shared" si="13"/>
        <v>1996.6419739059568</v>
      </c>
      <c r="E35" s="242">
        <f t="shared" si="13"/>
        <v>468.23238000000003</v>
      </c>
      <c r="F35" s="242">
        <f t="shared" si="13"/>
        <v>335.15479199999982</v>
      </c>
      <c r="G35" s="242">
        <f t="shared" si="13"/>
        <v>498.72793999999948</v>
      </c>
      <c r="H35" s="261">
        <f>H30-H32-H33-H34</f>
        <v>463.6723890346741</v>
      </c>
      <c r="I35" s="242">
        <f t="shared" si="13"/>
        <v>687.41440192457503</v>
      </c>
      <c r="J35" s="242">
        <f t="shared" si="13"/>
        <v>858.8421902561563</v>
      </c>
      <c r="K35" s="242">
        <f t="shared" si="13"/>
        <v>975.8767442706453</v>
      </c>
      <c r="L35" s="242">
        <f t="shared" si="13"/>
        <v>1143.2873253448906</v>
      </c>
      <c r="M35" s="242">
        <f t="shared" si="13"/>
        <v>1201.2134501115188</v>
      </c>
      <c r="N35" s="22"/>
      <c r="O35" s="22"/>
      <c r="P35" s="22"/>
      <c r="Q35" s="22"/>
      <c r="R35" s="22"/>
    </row>
    <row r="36" spans="1:25" s="4" customFormat="1" ht="22" customHeight="1">
      <c r="A36" s="65" t="s">
        <v>188</v>
      </c>
      <c r="B36" s="54"/>
      <c r="C36" s="54"/>
      <c r="D36" s="54"/>
      <c r="E36" s="54"/>
      <c r="F36" s="54"/>
      <c r="G36" s="54"/>
      <c r="H36" s="54"/>
      <c r="I36" s="78"/>
      <c r="J36" s="78"/>
      <c r="K36" s="78"/>
      <c r="L36" s="78"/>
      <c r="M36" s="78"/>
      <c r="N36" s="27"/>
      <c r="O36" s="27"/>
      <c r="P36" s="27"/>
      <c r="Q36" s="27"/>
      <c r="R36" s="27"/>
      <c r="S36" s="15"/>
      <c r="T36" s="27"/>
      <c r="U36" s="27"/>
      <c r="V36" s="27"/>
    </row>
    <row r="37" spans="1:25" s="1" customFormat="1" ht="22" customHeight="1">
      <c r="A37" s="65" t="s">
        <v>187</v>
      </c>
      <c r="B37" s="5"/>
      <c r="C37" s="5"/>
      <c r="D37" s="5"/>
      <c r="E37" s="5"/>
      <c r="F37" s="5"/>
      <c r="G37" s="65"/>
      <c r="H37" s="5"/>
      <c r="I37" s="5"/>
      <c r="J37" s="5"/>
      <c r="K37" s="5"/>
      <c r="L37" s="5"/>
      <c r="M37" s="5"/>
      <c r="N37" s="24"/>
      <c r="O37" s="21"/>
      <c r="P37" s="21"/>
      <c r="Q37" s="21"/>
      <c r="R37" s="21"/>
      <c r="S37" s="21"/>
      <c r="T37" s="21"/>
      <c r="U37" s="21"/>
      <c r="V37" s="21"/>
      <c r="W37" s="55"/>
    </row>
    <row r="38" spans="1:25" s="5" customFormat="1" ht="22" customHeight="1">
      <c r="N38" s="22"/>
      <c r="O38" s="22"/>
      <c r="P38" s="22"/>
      <c r="Q38" s="22"/>
      <c r="R38" s="22"/>
    </row>
    <row r="39" spans="1:25" s="5" customFormat="1" ht="22" customHeight="1">
      <c r="A39" s="62" t="s">
        <v>25</v>
      </c>
      <c r="B39" s="71">
        <v>751.00199999999995</v>
      </c>
      <c r="C39" s="71">
        <v>870.779</v>
      </c>
      <c r="D39" s="71">
        <v>1986.8530000000001</v>
      </c>
      <c r="E39" s="71">
        <v>2306.64</v>
      </c>
      <c r="F39" s="71">
        <v>2300.373</v>
      </c>
      <c r="G39" s="71">
        <f t="shared" ref="G39:M39" si="14">F39*(1+G10)</f>
        <v>2315.863299991574</v>
      </c>
      <c r="H39" s="71">
        <f t="shared" si="14"/>
        <v>2120.4011469429815</v>
      </c>
      <c r="I39" s="71">
        <f t="shared" si="14"/>
        <v>2137.7499281501919</v>
      </c>
      <c r="J39" s="71">
        <f t="shared" si="14"/>
        <v>2125.342777159824</v>
      </c>
      <c r="K39" s="71">
        <f t="shared" si="14"/>
        <v>2119.0709461321035</v>
      </c>
      <c r="L39" s="71">
        <f t="shared" si="14"/>
        <v>2108.2953926200948</v>
      </c>
      <c r="M39" s="71">
        <f t="shared" si="14"/>
        <v>2098.3049123545702</v>
      </c>
      <c r="N39" s="78"/>
      <c r="O39" s="78"/>
      <c r="P39" s="78"/>
      <c r="Q39" s="78"/>
      <c r="R39" s="78"/>
      <c r="S39" s="66"/>
      <c r="T39" s="65"/>
      <c r="U39" s="65"/>
      <c r="V39" s="65"/>
      <c r="W39" s="65"/>
      <c r="X39" s="65"/>
      <c r="Y39" s="65"/>
    </row>
    <row r="40" spans="1:25" s="4" customFormat="1" ht="22" customHeight="1" thickBot="1">
      <c r="A40" s="54"/>
      <c r="B40" s="66"/>
      <c r="C40" s="66"/>
      <c r="D40" s="66"/>
      <c r="E40" s="66"/>
      <c r="F40" s="66"/>
      <c r="G40" s="66"/>
      <c r="H40" s="66"/>
      <c r="I40" s="61"/>
      <c r="J40" s="78"/>
      <c r="K40" s="62"/>
      <c r="L40" s="78"/>
      <c r="M40" s="78"/>
      <c r="N40" s="22"/>
      <c r="O40" s="22"/>
      <c r="P40" s="22"/>
      <c r="Q40" s="22"/>
      <c r="R40" s="22"/>
      <c r="S40" s="1"/>
    </row>
    <row r="41" spans="1:25" s="4" customFormat="1" ht="22" customHeight="1">
      <c r="A41" s="114" t="s">
        <v>19</v>
      </c>
      <c r="B41" s="115"/>
      <c r="C41" s="115"/>
      <c r="D41" s="115"/>
      <c r="E41" s="115"/>
      <c r="F41" s="116"/>
      <c r="G41" s="116"/>
      <c r="H41" s="116"/>
      <c r="I41" s="115"/>
      <c r="J41" s="213"/>
      <c r="K41" s="203"/>
      <c r="L41" s="213"/>
      <c r="M41" s="214"/>
      <c r="N41" s="14"/>
      <c r="O41" s="14"/>
      <c r="P41" s="14"/>
      <c r="Q41" s="14"/>
      <c r="R41" s="14"/>
      <c r="S41" s="14"/>
      <c r="T41" s="14"/>
      <c r="U41" s="14"/>
      <c r="V41" s="14"/>
      <c r="W41" s="14"/>
      <c r="Y41" s="5"/>
    </row>
    <row r="42" spans="1:25" s="5" customFormat="1" ht="22" customHeight="1">
      <c r="A42" s="105" t="s">
        <v>20</v>
      </c>
      <c r="B42" s="106">
        <f>B18/B20</f>
        <v>-0.79673112747272279</v>
      </c>
      <c r="C42" s="106">
        <f t="shared" ref="C42:M42" si="15">C18/C20</f>
        <v>0.98137302352571887</v>
      </c>
      <c r="D42" s="106">
        <f t="shared" si="15"/>
        <v>0.62083663259000943</v>
      </c>
      <c r="E42" s="106">
        <f t="shared" si="15"/>
        <v>3.2422174571414293</v>
      </c>
      <c r="F42" s="106">
        <f t="shared" si="15"/>
        <v>3.3635900097015092</v>
      </c>
      <c r="G42" s="106">
        <f t="shared" si="15"/>
        <v>3.278401687658993</v>
      </c>
      <c r="H42" s="106">
        <f>H18/H20</f>
        <v>2.9842999734212654</v>
      </c>
      <c r="I42" s="106">
        <f t="shared" si="15"/>
        <v>3.3045620044937802</v>
      </c>
      <c r="J42" s="106">
        <f t="shared" si="15"/>
        <v>3.5215319483747325</v>
      </c>
      <c r="K42" s="106">
        <f t="shared" si="15"/>
        <v>3.7735544163906765</v>
      </c>
      <c r="L42" s="106">
        <f t="shared" si="15"/>
        <v>4.1068453781157608</v>
      </c>
      <c r="M42" s="107">
        <f t="shared" si="15"/>
        <v>4.3387539271779447</v>
      </c>
      <c r="N42" s="13"/>
      <c r="O42" s="13"/>
      <c r="P42" s="13"/>
      <c r="Q42" s="13"/>
      <c r="R42" s="13"/>
      <c r="S42" s="13"/>
      <c r="T42" s="13"/>
      <c r="U42" s="13"/>
      <c r="V42" s="13"/>
      <c r="W42" s="13"/>
    </row>
    <row r="43" spans="1:25" s="5" customFormat="1" ht="22" customHeight="1">
      <c r="A43" s="105" t="s">
        <v>21</v>
      </c>
      <c r="B43" s="99">
        <f>B30/B20</f>
        <v>0.99302610958337001</v>
      </c>
      <c r="C43" s="99">
        <f t="shared" ref="C43:M43" si="16">C30/C20</f>
        <v>2.4203676120226167</v>
      </c>
      <c r="D43" s="99">
        <f t="shared" si="16"/>
        <v>6.4734739793428684</v>
      </c>
      <c r="E43" s="99">
        <f t="shared" si="16"/>
        <v>5.0109343396488759</v>
      </c>
      <c r="F43" s="99">
        <f t="shared" si="16"/>
        <v>5.2386819484240679</v>
      </c>
      <c r="G43" s="99">
        <f t="shared" si="16"/>
        <v>5.7072608473613613</v>
      </c>
      <c r="H43" s="99">
        <f t="shared" si="16"/>
        <v>5.0981259258365546</v>
      </c>
      <c r="I43" s="99">
        <f t="shared" si="16"/>
        <v>5.4356829409319962</v>
      </c>
      <c r="J43" s="99">
        <f t="shared" si="16"/>
        <v>5.6402842074064177</v>
      </c>
      <c r="K43" s="99">
        <f t="shared" si="16"/>
        <v>5.8860542928415134</v>
      </c>
      <c r="L43" s="99">
        <f t="shared" si="16"/>
        <v>6.2086031151850163</v>
      </c>
      <c r="M43" s="108">
        <f t="shared" si="16"/>
        <v>6.4305521636626981</v>
      </c>
      <c r="N43" s="18"/>
      <c r="O43" s="29"/>
      <c r="P43" s="29"/>
      <c r="Q43" s="29"/>
      <c r="R43" s="29"/>
      <c r="S43" s="4"/>
    </row>
    <row r="44" spans="1:25" s="4" customFormat="1" ht="22" customHeight="1">
      <c r="A44" s="109" t="s">
        <v>22</v>
      </c>
      <c r="B44" s="110">
        <f t="shared" ref="B44:M44" si="17">(B30-B33)/B20</f>
        <v>0.59236376001655844</v>
      </c>
      <c r="C44" s="110">
        <f t="shared" si="17"/>
        <v>1.8063052077744552</v>
      </c>
      <c r="D44" s="110">
        <f t="shared" si="17"/>
        <v>5.1876602861833971</v>
      </c>
      <c r="E44" s="110">
        <f t="shared" si="17"/>
        <v>2.9861370909399012</v>
      </c>
      <c r="F44" s="110">
        <f t="shared" si="17"/>
        <v>2.5312839834848719</v>
      </c>
      <c r="G44" s="110">
        <f t="shared" si="17"/>
        <v>3.0822256480257337</v>
      </c>
      <c r="H44" s="110">
        <f t="shared" si="17"/>
        <v>2.716390434575255</v>
      </c>
      <c r="I44" s="110">
        <f t="shared" si="17"/>
        <v>3.0539474496706971</v>
      </c>
      <c r="J44" s="110">
        <f t="shared" si="17"/>
        <v>3.2585487161451185</v>
      </c>
      <c r="K44" s="110">
        <f t="shared" si="17"/>
        <v>3.5043188015802142</v>
      </c>
      <c r="L44" s="110">
        <f t="shared" si="17"/>
        <v>3.8268676239237172</v>
      </c>
      <c r="M44" s="111">
        <f t="shared" si="17"/>
        <v>4.048816672401399</v>
      </c>
      <c r="N44" s="18"/>
      <c r="O44" s="29"/>
      <c r="P44" s="29"/>
      <c r="Q44" s="29"/>
      <c r="R44" s="29"/>
      <c r="S44" s="1"/>
    </row>
    <row r="45" spans="1:25" s="1" customFormat="1" ht="22" customHeight="1">
      <c r="A45" s="112" t="s">
        <v>23</v>
      </c>
      <c r="B45" s="99">
        <f t="shared" ref="B45:M45" si="18">B53/(B30+B39)</f>
        <v>8.6996938843649083</v>
      </c>
      <c r="C45" s="99">
        <f t="shared" si="18"/>
        <v>4.1947579691014685</v>
      </c>
      <c r="D45" s="99">
        <f t="shared" si="18"/>
        <v>1.0866036631199294</v>
      </c>
      <c r="E45" s="99">
        <f t="shared" si="18"/>
        <v>1.6112409817352094</v>
      </c>
      <c r="F45" s="99">
        <f t="shared" si="18"/>
        <v>1.376399785908097</v>
      </c>
      <c r="G45" s="99">
        <f t="shared" si="18"/>
        <v>1.3234781506672317</v>
      </c>
      <c r="H45" s="99">
        <f t="shared" si="18"/>
        <v>1.2422468371283426</v>
      </c>
      <c r="I45" s="99">
        <f t="shared" si="18"/>
        <v>0.94308748178855528</v>
      </c>
      <c r="J45" s="99">
        <f t="shared" si="18"/>
        <v>0.61819510704114122</v>
      </c>
      <c r="K45" s="99">
        <f t="shared" si="18"/>
        <v>0.44570969984172654</v>
      </c>
      <c r="L45" s="99">
        <f t="shared" si="18"/>
        <v>0.43361821897367059</v>
      </c>
      <c r="M45" s="108">
        <f t="shared" si="18"/>
        <v>0.4258997029063803</v>
      </c>
      <c r="N45" s="18"/>
      <c r="O45" s="29"/>
      <c r="Q45" s="29"/>
      <c r="R45" s="29"/>
      <c r="S45" s="5"/>
    </row>
    <row r="46" spans="1:25" s="5" customFormat="1" ht="22" customHeight="1">
      <c r="A46" s="109" t="s">
        <v>182</v>
      </c>
      <c r="B46" s="106">
        <f t="shared" ref="B46:M46" si="19">B59/(B30+B39)</f>
        <v>14.597158853278883</v>
      </c>
      <c r="C46" s="106">
        <f t="shared" si="19"/>
        <v>8.400778592831017</v>
      </c>
      <c r="D46" s="106">
        <f t="shared" si="19"/>
        <v>5.3942648983590082</v>
      </c>
      <c r="E46" s="106">
        <f t="shared" si="19"/>
        <v>7.0581762349186175</v>
      </c>
      <c r="F46" s="106">
        <f t="shared" si="19"/>
        <v>6.8014182939540664</v>
      </c>
      <c r="G46" s="106">
        <f t="shared" si="19"/>
        <v>6.6262996194678747</v>
      </c>
      <c r="H46" s="106">
        <f t="shared" si="19"/>
        <v>6.9784690429736838</v>
      </c>
      <c r="I46" s="106">
        <f t="shared" si="19"/>
        <v>6.4637982144695387</v>
      </c>
      <c r="J46" s="106">
        <f t="shared" si="19"/>
        <v>6.0425532355359666</v>
      </c>
      <c r="K46" s="106">
        <f t="shared" si="19"/>
        <v>5.756412226426594</v>
      </c>
      <c r="L46" s="106">
        <f t="shared" si="19"/>
        <v>5.5988357340949406</v>
      </c>
      <c r="M46" s="107">
        <f t="shared" si="19"/>
        <v>5.4988619455003924</v>
      </c>
      <c r="N46" s="19"/>
      <c r="O46" s="19"/>
      <c r="P46" s="19"/>
      <c r="Q46" s="19"/>
      <c r="R46" s="19"/>
      <c r="S46" s="8"/>
      <c r="T46" s="19"/>
      <c r="U46" s="19"/>
      <c r="V46" s="19"/>
      <c r="W46" s="19"/>
    </row>
    <row r="47" spans="1:25" s="6" customFormat="1" ht="22" customHeight="1" thickBot="1">
      <c r="A47" s="113" t="s">
        <v>24</v>
      </c>
      <c r="B47" s="211">
        <f t="shared" ref="B47:M47" si="20">B35/B59</f>
        <v>-5.2611811882842044E-2</v>
      </c>
      <c r="C47" s="211">
        <f t="shared" si="20"/>
        <v>-4.1083803030917522E-3</v>
      </c>
      <c r="D47" s="211">
        <f t="shared" si="20"/>
        <v>6.3399171824241124E-2</v>
      </c>
      <c r="E47" s="211">
        <f t="shared" si="20"/>
        <v>1.4380450745279359E-2</v>
      </c>
      <c r="F47" s="211">
        <f t="shared" si="20"/>
        <v>1.0660719184767386E-2</v>
      </c>
      <c r="G47" s="211">
        <f t="shared" si="20"/>
        <v>1.5988486241904121E-2</v>
      </c>
      <c r="H47" s="211">
        <f t="shared" si="20"/>
        <v>1.5211598954806791E-2</v>
      </c>
      <c r="I47" s="211">
        <f t="shared" si="20"/>
        <v>2.3455243198836344E-2</v>
      </c>
      <c r="J47" s="211">
        <f t="shared" si="20"/>
        <v>3.081867193324549E-2</v>
      </c>
      <c r="K47" s="211">
        <f t="shared" si="20"/>
        <v>3.5963049091571601E-2</v>
      </c>
      <c r="L47" s="211">
        <f t="shared" si="20"/>
        <v>4.2143344993287653E-2</v>
      </c>
      <c r="M47" s="212">
        <f t="shared" si="20"/>
        <v>4.4280712342877622E-2</v>
      </c>
      <c r="N47" s="30"/>
      <c r="O47" s="30"/>
      <c r="P47" s="30"/>
      <c r="Q47" s="30"/>
      <c r="R47" s="30"/>
      <c r="S47" s="4"/>
      <c r="T47" s="29"/>
      <c r="U47" s="29"/>
    </row>
    <row r="48" spans="1:25" s="6" customFormat="1" ht="22" customHeight="1">
      <c r="A48" s="54"/>
      <c r="B48" s="54"/>
      <c r="C48" s="54"/>
      <c r="D48" s="54"/>
      <c r="E48" s="54"/>
      <c r="F48" s="54"/>
      <c r="G48" s="54"/>
      <c r="H48" s="54"/>
      <c r="I48" s="215"/>
      <c r="J48" s="166"/>
      <c r="K48" s="166"/>
      <c r="L48" s="166"/>
      <c r="M48" s="166"/>
      <c r="N48" s="17"/>
      <c r="O48" s="17"/>
      <c r="P48" s="17"/>
      <c r="Q48" s="17"/>
      <c r="R48" s="17"/>
      <c r="S48" s="17"/>
      <c r="T48" s="17"/>
      <c r="U48" s="17"/>
      <c r="V48" s="17"/>
      <c r="W48" s="17"/>
    </row>
    <row r="49" spans="1:24" s="6" customFormat="1" ht="22" customHeight="1">
      <c r="A49" s="81" t="s">
        <v>30</v>
      </c>
      <c r="B49" s="65"/>
      <c r="C49" s="65"/>
      <c r="D49" s="65"/>
      <c r="E49" s="65"/>
      <c r="F49" s="65"/>
      <c r="G49" s="65"/>
      <c r="H49" s="65"/>
      <c r="I49" s="85"/>
      <c r="J49" s="85"/>
      <c r="K49" s="85"/>
      <c r="L49" s="85"/>
      <c r="M49" s="85"/>
      <c r="N49" s="19"/>
      <c r="O49" s="19"/>
      <c r="P49" s="19"/>
      <c r="Q49" s="19"/>
      <c r="R49" s="19"/>
      <c r="S49" s="8"/>
      <c r="T49" s="19"/>
      <c r="U49" s="19"/>
      <c r="V49" s="19"/>
      <c r="W49" s="19"/>
    </row>
    <row r="50" spans="1:24" s="6" customFormat="1" ht="22" customHeight="1">
      <c r="A50" s="67" t="s">
        <v>26</v>
      </c>
      <c r="B50" s="84">
        <v>6.6000000000000003E-2</v>
      </c>
      <c r="C50" s="84">
        <v>6.3E-2</v>
      </c>
      <c r="D50" s="84">
        <v>7.8E-2</v>
      </c>
      <c r="E50" s="84">
        <v>0.06</v>
      </c>
      <c r="F50" s="84">
        <v>5.3999999999999999E-2</v>
      </c>
      <c r="G50" s="84">
        <v>0.06</v>
      </c>
      <c r="H50" s="84">
        <v>5.3999999999999999E-2</v>
      </c>
      <c r="I50" s="84">
        <v>5.0999999999999997E-2</v>
      </c>
      <c r="J50" s="79">
        <v>4.8000000000000001E-2</v>
      </c>
      <c r="K50" s="73">
        <v>6.0999999999999999E-2</v>
      </c>
      <c r="L50" s="73">
        <v>4.9000000000000002E-2</v>
      </c>
      <c r="M50" s="73">
        <v>6.8000000000000005E-2</v>
      </c>
      <c r="N50" s="23"/>
      <c r="S50" s="5"/>
    </row>
    <row r="51" spans="1:24" s="6" customFormat="1" ht="22" customHeight="1">
      <c r="A51" s="67" t="s">
        <v>27</v>
      </c>
      <c r="B51" s="71">
        <v>12376.683999999999</v>
      </c>
      <c r="C51" s="83">
        <v>11770.797</v>
      </c>
      <c r="D51" s="83">
        <v>6343.81</v>
      </c>
      <c r="E51" s="83">
        <v>7432.817</v>
      </c>
      <c r="F51" s="83">
        <v>6362.098</v>
      </c>
      <c r="G51" s="83">
        <v>6230.1409999999996</v>
      </c>
      <c r="H51" s="83">
        <v>5426</v>
      </c>
      <c r="I51" s="83">
        <f>H51-'MGM Bond'!D6-'MGM Bond'!D7</f>
        <v>4276</v>
      </c>
      <c r="J51" s="71">
        <f>I51-'MGM Bond'!D8-'MGM Bond'!D9</f>
        <v>2851</v>
      </c>
      <c r="K51" s="71">
        <f>J51-'MGM Bond'!D10</f>
        <v>2101</v>
      </c>
      <c r="L51" s="71">
        <f>K51</f>
        <v>2101</v>
      </c>
      <c r="M51" s="71">
        <f>L51</f>
        <v>2101</v>
      </c>
      <c r="N51" s="14"/>
      <c r="O51" s="14"/>
      <c r="P51" s="14"/>
      <c r="Q51" s="14"/>
      <c r="R51" s="14"/>
      <c r="S51" s="14"/>
      <c r="T51" s="14"/>
      <c r="U51" s="14"/>
      <c r="V51" s="14"/>
      <c r="W51" s="14"/>
    </row>
    <row r="52" spans="1:24" s="6" customFormat="1" ht="22" customHeight="1">
      <c r="A52" s="65" t="s">
        <v>28</v>
      </c>
      <c r="B52" s="85">
        <v>0</v>
      </c>
      <c r="C52" s="85">
        <v>0</v>
      </c>
      <c r="D52" s="85">
        <v>0</v>
      </c>
      <c r="E52" s="85">
        <v>0</v>
      </c>
      <c r="F52" s="85">
        <v>0</v>
      </c>
      <c r="G52" s="85">
        <v>0</v>
      </c>
      <c r="H52" s="85">
        <v>0</v>
      </c>
      <c r="I52" s="85">
        <v>0</v>
      </c>
      <c r="J52" s="85">
        <v>0</v>
      </c>
      <c r="K52" s="85">
        <v>0</v>
      </c>
      <c r="L52" s="85">
        <v>0</v>
      </c>
      <c r="M52" s="85">
        <v>0</v>
      </c>
      <c r="N52" s="23"/>
      <c r="S52" s="1"/>
    </row>
    <row r="53" spans="1:24" s="6" customFormat="1" ht="22" customHeight="1">
      <c r="A53" s="67" t="s">
        <v>29</v>
      </c>
      <c r="B53" s="87">
        <f>SUM(B50:B52)</f>
        <v>12376.75</v>
      </c>
      <c r="C53" s="87">
        <f t="shared" ref="C53:M53" si="21">SUM(C50:C52)</f>
        <v>11770.86</v>
      </c>
      <c r="D53" s="87">
        <f t="shared" si="21"/>
        <v>6343.8880000000008</v>
      </c>
      <c r="E53" s="87">
        <f t="shared" si="21"/>
        <v>7432.8770000000004</v>
      </c>
      <c r="F53" s="87">
        <f>SUM(F50:F52)</f>
        <v>6362.152</v>
      </c>
      <c r="G53" s="87">
        <f t="shared" si="21"/>
        <v>6230.201</v>
      </c>
      <c r="H53" s="87">
        <f t="shared" si="21"/>
        <v>5426.0540000000001</v>
      </c>
      <c r="I53" s="87">
        <f t="shared" si="21"/>
        <v>4276.0510000000004</v>
      </c>
      <c r="J53" s="87">
        <f t="shared" si="21"/>
        <v>2851.0479999999998</v>
      </c>
      <c r="K53" s="87">
        <f>SUM(K50:K52)</f>
        <v>2101.0610000000001</v>
      </c>
      <c r="L53" s="87">
        <f t="shared" si="21"/>
        <v>2101.049</v>
      </c>
      <c r="M53" s="87">
        <f t="shared" si="21"/>
        <v>2101.0680000000002</v>
      </c>
      <c r="N53" s="27"/>
      <c r="O53" s="27"/>
      <c r="P53" s="27"/>
      <c r="Q53" s="27"/>
      <c r="R53" s="27"/>
      <c r="S53" s="15"/>
      <c r="T53" s="27"/>
      <c r="U53" s="27"/>
      <c r="V53" s="27"/>
      <c r="W53" s="27"/>
    </row>
    <row r="54" spans="1:24" s="6" customFormat="1" ht="22" customHeight="1">
      <c r="A54" s="67" t="s">
        <v>32</v>
      </c>
      <c r="B54" s="67"/>
      <c r="C54" s="71"/>
      <c r="D54" s="71"/>
      <c r="E54" s="71"/>
      <c r="F54" s="71"/>
      <c r="G54" s="71"/>
      <c r="H54" s="71"/>
      <c r="I54" s="71"/>
      <c r="J54" s="65"/>
      <c r="K54" s="208"/>
      <c r="L54" s="208"/>
      <c r="M54" s="208"/>
      <c r="N54" s="23"/>
    </row>
    <row r="55" spans="1:24" s="6" customFormat="1" ht="22" customHeight="1">
      <c r="A55" s="67" t="s">
        <v>31</v>
      </c>
      <c r="B55" s="71">
        <v>8390.1170000000002</v>
      </c>
      <c r="C55" s="71">
        <v>11802.464</v>
      </c>
      <c r="D55" s="87">
        <v>25149.298999999999</v>
      </c>
      <c r="E55" s="87">
        <v>25127.464</v>
      </c>
      <c r="F55" s="87">
        <v>25076.138999999999</v>
      </c>
      <c r="G55" s="87">
        <v>24962.741999999998</v>
      </c>
      <c r="H55" s="87">
        <f t="shared" ref="H55:M55" si="22">AVERAGE(E55:G55)</f>
        <v>25055.448333333334</v>
      </c>
      <c r="I55" s="87">
        <f t="shared" si="22"/>
        <v>25031.443111111108</v>
      </c>
      <c r="J55" s="87">
        <f t="shared" si="22"/>
        <v>25016.54448148148</v>
      </c>
      <c r="K55" s="87">
        <f t="shared" si="22"/>
        <v>25034.478641975307</v>
      </c>
      <c r="L55" s="87">
        <f t="shared" si="22"/>
        <v>25027.488744855964</v>
      </c>
      <c r="M55" s="87">
        <f t="shared" si="22"/>
        <v>25026.170622770918</v>
      </c>
      <c r="N55" s="19"/>
    </row>
    <row r="56" spans="1:24" s="6" customFormat="1" ht="22" customHeight="1">
      <c r="A56" s="67"/>
      <c r="B56" s="88"/>
      <c r="C56" s="88"/>
      <c r="D56" s="88"/>
      <c r="E56" s="88"/>
      <c r="F56" s="88"/>
      <c r="G56" s="88"/>
      <c r="H56" s="88"/>
      <c r="I56" s="88"/>
      <c r="J56" s="89"/>
      <c r="K56" s="89"/>
      <c r="L56" s="89"/>
      <c r="M56" s="89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spans="1:24" s="6" customFormat="1" ht="22" customHeight="1">
      <c r="A57" s="66" t="s">
        <v>33</v>
      </c>
      <c r="B57" s="89">
        <v>0</v>
      </c>
      <c r="C57" s="89">
        <v>0</v>
      </c>
      <c r="D57" s="89">
        <v>0</v>
      </c>
      <c r="E57" s="89">
        <v>0</v>
      </c>
      <c r="F57" s="89">
        <v>0</v>
      </c>
      <c r="G57" s="89">
        <v>0</v>
      </c>
      <c r="H57" s="89">
        <v>0</v>
      </c>
      <c r="I57" s="89">
        <v>0</v>
      </c>
      <c r="J57" s="89">
        <v>0</v>
      </c>
      <c r="K57" s="89">
        <v>0</v>
      </c>
      <c r="L57" s="89">
        <v>0</v>
      </c>
      <c r="M57" s="89">
        <v>0</v>
      </c>
      <c r="N57" s="32"/>
      <c r="Q57" s="5"/>
      <c r="R57" s="5"/>
    </row>
    <row r="58" spans="1:24" s="6" customFormat="1" ht="22" customHeight="1">
      <c r="A58" s="67"/>
      <c r="B58" s="67"/>
      <c r="C58" s="67"/>
      <c r="D58" s="67"/>
      <c r="E58" s="67"/>
      <c r="F58" s="85"/>
      <c r="G58" s="85"/>
      <c r="H58" s="85"/>
      <c r="I58" s="85"/>
      <c r="J58" s="67"/>
      <c r="K58" s="67"/>
      <c r="L58" s="67"/>
      <c r="M58" s="67"/>
    </row>
    <row r="59" spans="1:24" s="6" customFormat="1" ht="22" customHeight="1">
      <c r="A59" s="67" t="s">
        <v>34</v>
      </c>
      <c r="B59" s="71">
        <f>B53+B55+B57</f>
        <v>20766.866999999998</v>
      </c>
      <c r="C59" s="71">
        <f>C53+C55+C57</f>
        <v>23573.324000000001</v>
      </c>
      <c r="D59" s="71">
        <f>D53+D55+D57</f>
        <v>31493.186999999998</v>
      </c>
      <c r="E59" s="71">
        <f t="shared" ref="E59:F59" si="23">E53+E55+E57</f>
        <v>32560.341</v>
      </c>
      <c r="F59" s="71">
        <f t="shared" si="23"/>
        <v>31438.290999999997</v>
      </c>
      <c r="G59" s="71">
        <f>G53+G55+G57</f>
        <v>31192.942999999999</v>
      </c>
      <c r="H59" s="71">
        <f t="shared" ref="H59:M59" si="24">H53+H55+H57</f>
        <v>30481.502333333334</v>
      </c>
      <c r="I59" s="71">
        <f t="shared" si="24"/>
        <v>29307.494111111107</v>
      </c>
      <c r="J59" s="71">
        <f t="shared" si="24"/>
        <v>27867.592481481479</v>
      </c>
      <c r="K59" s="71">
        <f t="shared" si="24"/>
        <v>27135.539641975309</v>
      </c>
      <c r="L59" s="71">
        <f t="shared" si="24"/>
        <v>27128.537744855963</v>
      </c>
      <c r="M59" s="71">
        <f t="shared" si="24"/>
        <v>27127.238622770918</v>
      </c>
      <c r="O59" s="29"/>
    </row>
    <row r="60" spans="1:24" s="6" customFormat="1" ht="22" customHeight="1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5"/>
    </row>
    <row r="61" spans="1:24" s="6" customFormat="1" ht="22" customHeight="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2"/>
      <c r="O61" s="2"/>
      <c r="P61" s="2"/>
      <c r="Q61" s="2"/>
      <c r="R61" s="2"/>
      <c r="S61" s="2"/>
      <c r="T61" s="2"/>
      <c r="U61" s="2"/>
      <c r="V61" s="2"/>
      <c r="W61" s="35"/>
      <c r="X61" s="2"/>
    </row>
    <row r="62" spans="1:24" s="6" customFormat="1" ht="22" customHeight="1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2"/>
      <c r="O62" s="2"/>
      <c r="P62" s="2"/>
      <c r="Q62" s="2"/>
      <c r="R62" s="2"/>
      <c r="S62" s="2"/>
      <c r="T62" s="2"/>
      <c r="U62" s="2"/>
      <c r="V62" s="2"/>
      <c r="W62" s="35"/>
      <c r="X62" s="2"/>
    </row>
    <row r="63" spans="1:24" s="6" customFormat="1" ht="22" customHeight="1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2"/>
      <c r="O63" s="2"/>
      <c r="P63" s="2"/>
      <c r="Q63" s="2"/>
      <c r="R63" s="2"/>
      <c r="S63" s="2"/>
      <c r="T63" s="2"/>
      <c r="U63" s="2"/>
      <c r="V63" s="2"/>
      <c r="W63" s="35"/>
      <c r="X63" s="2"/>
    </row>
    <row r="64" spans="1:24" s="6" customFormat="1" ht="22" customHeight="1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2"/>
      <c r="O64" s="2"/>
      <c r="P64" s="2"/>
      <c r="Q64" s="2"/>
      <c r="R64" s="2"/>
      <c r="S64" s="2"/>
      <c r="T64" s="2"/>
      <c r="U64" s="2"/>
      <c r="V64" s="2"/>
      <c r="W64" s="35"/>
      <c r="X64" s="2"/>
    </row>
    <row r="65" spans="1:24" s="6" customFormat="1" ht="22" customHeight="1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2"/>
      <c r="O65" s="2"/>
      <c r="P65" s="2"/>
      <c r="Q65" s="2"/>
      <c r="R65" s="2"/>
      <c r="S65" s="2"/>
      <c r="T65" s="2"/>
      <c r="U65" s="2"/>
      <c r="V65" s="2"/>
      <c r="W65" s="35"/>
      <c r="X65" s="2"/>
    </row>
    <row r="66" spans="1:24" s="6" customFormat="1" ht="22" customHeight="1">
      <c r="A66" s="68"/>
      <c r="B66" s="65"/>
      <c r="C66" s="79"/>
      <c r="D66" s="79"/>
      <c r="E66" s="79"/>
      <c r="F66" s="79"/>
      <c r="G66" s="79"/>
      <c r="H66" s="79"/>
      <c r="I66" s="79"/>
      <c r="J66" s="79"/>
      <c r="K66" s="64"/>
      <c r="L66" s="64"/>
      <c r="M66" s="64"/>
      <c r="N66" s="2"/>
      <c r="O66" s="2"/>
      <c r="P66" s="2"/>
      <c r="Q66" s="2"/>
      <c r="R66" s="2"/>
      <c r="S66" s="2"/>
      <c r="T66" s="2"/>
      <c r="U66" s="2"/>
      <c r="V66" s="2"/>
      <c r="W66" s="35"/>
      <c r="X66" s="2"/>
    </row>
    <row r="67" spans="1:24" s="6" customFormat="1" ht="22" customHeight="1">
      <c r="A67" s="68"/>
      <c r="B67" s="65"/>
      <c r="C67" s="79"/>
      <c r="D67" s="79"/>
      <c r="E67" s="79"/>
      <c r="F67" s="79"/>
      <c r="G67" s="79"/>
      <c r="H67" s="79"/>
      <c r="I67" s="79"/>
      <c r="J67" s="67"/>
      <c r="K67" s="64"/>
      <c r="L67" s="64"/>
      <c r="M67" s="64"/>
      <c r="N67" s="2"/>
      <c r="O67" s="2"/>
      <c r="P67" s="2"/>
      <c r="Q67" s="2"/>
      <c r="R67" s="2"/>
      <c r="S67" s="2"/>
      <c r="T67" s="2"/>
      <c r="U67" s="2"/>
      <c r="V67" s="2"/>
      <c r="W67" s="35"/>
      <c r="X67" s="2"/>
    </row>
    <row r="68" spans="1:24" s="6" customFormat="1" ht="22" customHeight="1">
      <c r="A68" s="68"/>
      <c r="B68" s="65"/>
      <c r="C68" s="67"/>
      <c r="D68" s="67"/>
      <c r="E68" s="67"/>
      <c r="F68" s="67"/>
      <c r="G68" s="67"/>
      <c r="H68" s="67"/>
      <c r="I68" s="67"/>
      <c r="J68" s="158"/>
      <c r="K68" s="158"/>
      <c r="L68" s="158"/>
      <c r="M68" s="158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s="6" customFormat="1" ht="22" customHeight="1">
      <c r="A69" s="67"/>
      <c r="B69" s="66"/>
      <c r="C69" s="158"/>
      <c r="D69" s="158"/>
      <c r="E69" s="158"/>
      <c r="F69" s="158"/>
      <c r="G69" s="158"/>
      <c r="H69" s="158"/>
      <c r="I69" s="158"/>
      <c r="J69" s="158"/>
      <c r="K69" s="158"/>
      <c r="L69" s="158"/>
      <c r="M69" s="158"/>
      <c r="N69" s="35"/>
      <c r="O69" s="35"/>
      <c r="P69" s="35"/>
      <c r="Q69" s="35"/>
      <c r="R69" s="35"/>
      <c r="S69" s="3"/>
      <c r="T69" s="35"/>
      <c r="U69" s="35"/>
      <c r="V69" s="35"/>
      <c r="W69" s="35"/>
      <c r="X69" s="2"/>
    </row>
    <row r="70" spans="1:24" s="6" customFormat="1" ht="22" customHeight="1">
      <c r="A70" s="67"/>
      <c r="B70" s="65"/>
      <c r="C70" s="158"/>
      <c r="D70" s="158"/>
      <c r="E70" s="158"/>
      <c r="F70" s="158"/>
      <c r="G70" s="158"/>
      <c r="H70" s="158"/>
      <c r="I70" s="158"/>
      <c r="J70" s="158"/>
      <c r="K70" s="158"/>
      <c r="L70" s="158"/>
      <c r="M70" s="158"/>
      <c r="N70" s="35"/>
      <c r="O70" s="35"/>
      <c r="P70" s="35"/>
      <c r="Q70" s="35"/>
      <c r="R70" s="35"/>
      <c r="S70" s="3"/>
      <c r="T70" s="35"/>
      <c r="U70" s="35"/>
      <c r="V70" s="35"/>
      <c r="W70" s="35"/>
      <c r="X70" s="2"/>
    </row>
    <row r="71" spans="1:24" s="6" customFormat="1" ht="22" customHeight="1">
      <c r="A71" s="67"/>
      <c r="B71" s="66"/>
      <c r="C71" s="158"/>
      <c r="D71" s="158"/>
      <c r="E71" s="158"/>
      <c r="F71" s="158"/>
      <c r="G71" s="158"/>
      <c r="H71" s="158"/>
      <c r="I71" s="158"/>
      <c r="J71" s="67"/>
      <c r="K71" s="64"/>
      <c r="L71" s="64"/>
      <c r="M71" s="64"/>
      <c r="N71" s="35"/>
      <c r="O71" s="35"/>
      <c r="P71" s="35"/>
      <c r="Q71" s="35"/>
      <c r="R71" s="35"/>
      <c r="S71" s="3"/>
      <c r="T71" s="35"/>
      <c r="U71" s="35"/>
      <c r="V71" s="35"/>
      <c r="W71" s="35"/>
      <c r="X71" s="2"/>
    </row>
    <row r="72" spans="1:24" s="4" customFormat="1" ht="22" customHeight="1">
      <c r="A72" s="67"/>
      <c r="B72" s="66"/>
      <c r="C72" s="67"/>
      <c r="D72" s="67"/>
      <c r="E72" s="67"/>
      <c r="F72" s="67"/>
      <c r="G72" s="67"/>
      <c r="H72" s="67"/>
      <c r="I72" s="67"/>
      <c r="J72" s="67"/>
      <c r="K72" s="158"/>
      <c r="L72" s="158"/>
      <c r="M72" s="158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s="5" customFormat="1" ht="22" customHeight="1">
      <c r="A73" s="67"/>
      <c r="B73" s="216"/>
      <c r="C73" s="158"/>
      <c r="D73" s="158"/>
      <c r="E73" s="158"/>
      <c r="F73" s="158"/>
      <c r="G73" s="158"/>
      <c r="H73" s="158"/>
      <c r="I73" s="158"/>
      <c r="J73" s="67"/>
      <c r="K73" s="158"/>
      <c r="L73" s="158"/>
      <c r="M73" s="158"/>
      <c r="N73" s="2"/>
      <c r="O73" s="35"/>
      <c r="P73" s="35"/>
      <c r="Q73" s="35"/>
      <c r="R73" s="35"/>
      <c r="S73" s="2"/>
      <c r="T73" s="2"/>
      <c r="U73" s="2"/>
      <c r="V73" s="2"/>
      <c r="W73" s="2"/>
      <c r="X73" s="2"/>
    </row>
    <row r="74" spans="1:24" s="5" customFormat="1" ht="22" customHeight="1">
      <c r="A74" s="67"/>
      <c r="B74" s="73"/>
      <c r="C74" s="73"/>
      <c r="D74" s="158"/>
      <c r="E74" s="158"/>
      <c r="F74" s="158"/>
      <c r="G74" s="158"/>
      <c r="H74" s="158"/>
      <c r="I74" s="158"/>
      <c r="J74" s="67"/>
      <c r="K74" s="158"/>
      <c r="L74" s="158"/>
      <c r="M74" s="158"/>
      <c r="N74" s="35"/>
      <c r="O74" s="35"/>
      <c r="P74" s="35"/>
      <c r="Q74" s="35"/>
      <c r="R74" s="35"/>
      <c r="S74" s="3"/>
      <c r="T74" s="35"/>
      <c r="U74" s="35"/>
      <c r="V74" s="35"/>
      <c r="W74" s="35"/>
      <c r="X74" s="2"/>
    </row>
    <row r="75" spans="1:24" s="5" customFormat="1" ht="22" customHeight="1">
      <c r="A75" s="67"/>
      <c r="B75" s="65"/>
      <c r="C75" s="73"/>
      <c r="D75" s="158"/>
      <c r="E75" s="158"/>
      <c r="F75" s="158"/>
      <c r="G75" s="158"/>
      <c r="H75" s="158"/>
      <c r="I75" s="158"/>
      <c r="J75" s="65"/>
      <c r="K75" s="158"/>
      <c r="L75" s="158"/>
      <c r="M75" s="158"/>
      <c r="N75" s="35"/>
      <c r="O75" s="35"/>
      <c r="P75" s="35"/>
      <c r="Q75" s="35"/>
      <c r="R75" s="35"/>
      <c r="S75" s="3"/>
      <c r="T75" s="35"/>
      <c r="U75" s="35"/>
      <c r="V75" s="35"/>
      <c r="W75" s="35"/>
      <c r="X75" s="2"/>
    </row>
    <row r="76" spans="1:24" s="5" customFormat="1" ht="22" customHeight="1">
      <c r="A76" s="67"/>
      <c r="B76" s="65"/>
      <c r="C76" s="73"/>
      <c r="D76" s="158"/>
      <c r="E76" s="158"/>
      <c r="F76" s="158"/>
      <c r="G76" s="158"/>
      <c r="H76" s="158"/>
      <c r="I76" s="158"/>
      <c r="J76" s="67"/>
      <c r="K76" s="158"/>
      <c r="L76" s="158"/>
      <c r="M76" s="158"/>
      <c r="N76" s="35"/>
      <c r="O76" s="35"/>
      <c r="P76" s="35"/>
      <c r="Q76" s="35"/>
      <c r="R76" s="35"/>
      <c r="S76" s="3"/>
      <c r="T76" s="35"/>
      <c r="U76" s="35"/>
      <c r="V76" s="35"/>
      <c r="W76" s="35"/>
      <c r="X76" s="2"/>
    </row>
    <row r="77" spans="1:24" s="5" customFormat="1" ht="22" customHeight="1">
      <c r="A77" s="67"/>
      <c r="B77" s="65"/>
      <c r="C77" s="73"/>
      <c r="D77" s="158"/>
      <c r="E77" s="158"/>
      <c r="F77" s="158"/>
      <c r="G77" s="158"/>
      <c r="H77" s="158"/>
      <c r="I77" s="158"/>
      <c r="J77" s="67"/>
      <c r="K77" s="158"/>
      <c r="L77" s="158"/>
      <c r="M77" s="158"/>
      <c r="N77" s="35"/>
      <c r="O77" s="35"/>
      <c r="P77" s="35"/>
      <c r="Q77" s="35"/>
      <c r="R77" s="35"/>
      <c r="S77" s="3"/>
      <c r="T77" s="35"/>
      <c r="U77" s="35"/>
      <c r="V77" s="35"/>
      <c r="W77" s="35"/>
      <c r="X77" s="2"/>
    </row>
    <row r="78" spans="1:24" s="5" customFormat="1" ht="22" customHeight="1">
      <c r="A78" s="67"/>
      <c r="B78" s="65"/>
      <c r="C78" s="73"/>
      <c r="D78" s="158"/>
      <c r="E78" s="158"/>
      <c r="F78" s="158"/>
      <c r="G78" s="158"/>
      <c r="H78" s="158"/>
      <c r="I78" s="158"/>
      <c r="J78" s="66"/>
      <c r="K78" s="158"/>
      <c r="L78" s="158"/>
      <c r="M78" s="158"/>
      <c r="N78" s="35"/>
      <c r="O78" s="35"/>
      <c r="P78" s="35"/>
      <c r="Q78" s="35"/>
      <c r="R78" s="35"/>
      <c r="S78" s="3"/>
      <c r="T78" s="35"/>
      <c r="U78" s="35"/>
      <c r="V78" s="35"/>
      <c r="W78" s="35"/>
      <c r="X78" s="2"/>
    </row>
    <row r="79" spans="1:24" s="4" customFormat="1" ht="22" customHeight="1">
      <c r="A79" s="67"/>
      <c r="B79" s="65"/>
      <c r="C79" s="73"/>
      <c r="D79" s="73"/>
      <c r="E79" s="73"/>
      <c r="F79" s="73"/>
      <c r="G79" s="73"/>
      <c r="H79" s="73"/>
      <c r="I79" s="73"/>
      <c r="J79" s="65"/>
      <c r="K79" s="158"/>
      <c r="L79" s="158"/>
      <c r="M79" s="158"/>
      <c r="N79" s="35"/>
      <c r="O79" s="35"/>
      <c r="P79" s="35"/>
      <c r="Q79" s="35"/>
      <c r="R79" s="35"/>
      <c r="S79" s="3"/>
      <c r="T79" s="35"/>
      <c r="U79" s="35"/>
      <c r="V79" s="35"/>
      <c r="W79" s="35"/>
      <c r="X79" s="2"/>
    </row>
    <row r="80" spans="1:24" s="5" customFormat="1" ht="22" customHeight="1">
      <c r="A80" s="67"/>
      <c r="B80" s="65"/>
      <c r="C80" s="158"/>
      <c r="D80" s="158"/>
      <c r="E80" s="158"/>
      <c r="F80" s="158"/>
      <c r="G80" s="158"/>
      <c r="H80" s="158"/>
      <c r="I80" s="158"/>
      <c r="J80" s="79"/>
      <c r="K80" s="64"/>
      <c r="L80" s="64"/>
      <c r="M80" s="64"/>
      <c r="N80" s="35"/>
      <c r="O80" s="35"/>
      <c r="P80" s="35"/>
      <c r="Q80" s="35"/>
      <c r="R80" s="35"/>
      <c r="S80" s="3"/>
      <c r="T80" s="35"/>
      <c r="U80" s="35"/>
      <c r="V80" s="35"/>
      <c r="W80" s="35"/>
      <c r="X80" s="2"/>
    </row>
    <row r="81" spans="1:24" s="4" customFormat="1" ht="22" customHeight="1">
      <c r="A81" s="67"/>
      <c r="B81" s="65"/>
      <c r="C81" s="79"/>
      <c r="D81" s="79"/>
      <c r="E81" s="79"/>
      <c r="F81" s="79"/>
      <c r="G81" s="79"/>
      <c r="H81" s="79"/>
      <c r="I81" s="79"/>
      <c r="J81" s="65"/>
      <c r="K81" s="64"/>
      <c r="L81" s="64"/>
      <c r="M81" s="64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s="4" customFormat="1" ht="22" customHeight="1">
      <c r="A82" s="67"/>
      <c r="B82" s="66"/>
      <c r="C82" s="73"/>
      <c r="D82" s="67"/>
      <c r="E82" s="67"/>
      <c r="F82" s="217"/>
      <c r="G82" s="67"/>
      <c r="H82" s="67"/>
      <c r="I82" s="67"/>
      <c r="J82" s="66"/>
      <c r="K82" s="66"/>
      <c r="L82" s="66"/>
      <c r="M82" s="66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s="12" customFormat="1" ht="22" customHeight="1">
      <c r="A83" s="65"/>
      <c r="B83" s="75"/>
      <c r="C83" s="71"/>
      <c r="D83" s="71"/>
      <c r="E83" s="71"/>
      <c r="F83" s="71"/>
      <c r="G83" s="71"/>
      <c r="H83" s="71"/>
      <c r="I83" s="66"/>
      <c r="J83" s="54"/>
      <c r="K83" s="65"/>
      <c r="L83" s="65"/>
      <c r="M83" s="65"/>
      <c r="N83" s="4"/>
      <c r="O83" s="6"/>
      <c r="P83" s="6"/>
      <c r="Q83" s="6"/>
      <c r="R83" s="6"/>
      <c r="S83" s="5"/>
      <c r="U83" s="35"/>
      <c r="V83" s="5"/>
    </row>
    <row r="84" spans="1:24" s="5" customFormat="1" ht="22" customHeight="1">
      <c r="A84" s="65"/>
      <c r="B84" s="78"/>
      <c r="C84" s="78"/>
      <c r="D84" s="78"/>
      <c r="E84" s="78"/>
      <c r="F84" s="65"/>
      <c r="G84" s="65"/>
      <c r="H84" s="65"/>
      <c r="I84" s="65"/>
      <c r="J84" s="54"/>
      <c r="K84" s="65"/>
      <c r="L84" s="65"/>
      <c r="M84" s="65"/>
      <c r="O84" s="6"/>
      <c r="P84" s="6"/>
      <c r="Q84" s="6"/>
      <c r="R84" s="6"/>
      <c r="U84" s="35"/>
    </row>
    <row r="85" spans="1:24" s="5" customFormat="1" ht="22" customHeight="1">
      <c r="A85" s="65"/>
      <c r="B85" s="78"/>
      <c r="C85" s="78"/>
      <c r="D85" s="78"/>
      <c r="E85" s="78"/>
      <c r="F85" s="65"/>
      <c r="G85" s="65"/>
      <c r="H85" s="65"/>
      <c r="I85" s="65"/>
      <c r="J85" s="54"/>
      <c r="K85" s="150"/>
      <c r="L85" s="65"/>
      <c r="M85" s="65"/>
      <c r="O85" s="6"/>
      <c r="P85" s="6"/>
      <c r="Q85" s="6"/>
      <c r="R85" s="6"/>
      <c r="U85" s="35"/>
    </row>
    <row r="86" spans="1:24" s="5" customFormat="1" ht="22" customHeight="1">
      <c r="A86" s="54"/>
      <c r="B86" s="78"/>
      <c r="C86" s="78"/>
      <c r="D86" s="78"/>
      <c r="E86" s="78"/>
      <c r="F86" s="65"/>
      <c r="G86" s="65"/>
      <c r="H86" s="65"/>
      <c r="I86" s="65"/>
      <c r="J86" s="54"/>
      <c r="K86" s="65"/>
      <c r="L86" s="65"/>
      <c r="M86" s="65"/>
      <c r="O86" s="6"/>
      <c r="P86" s="35"/>
      <c r="Q86" s="35"/>
      <c r="R86" s="35"/>
      <c r="S86" s="4"/>
      <c r="U86" s="35"/>
    </row>
    <row r="87" spans="1:24" s="5" customFormat="1" ht="22" customHeight="1">
      <c r="A87" s="65"/>
      <c r="B87" s="78"/>
      <c r="C87" s="78"/>
      <c r="D87" s="78"/>
      <c r="E87" s="78"/>
      <c r="F87" s="65"/>
      <c r="G87" s="65"/>
      <c r="H87" s="65"/>
      <c r="I87" s="65"/>
      <c r="J87" s="66"/>
      <c r="K87" s="65"/>
      <c r="L87" s="65"/>
      <c r="M87" s="65"/>
      <c r="O87" s="6"/>
      <c r="P87" s="35"/>
      <c r="Q87" s="35"/>
      <c r="R87" s="35"/>
      <c r="U87" s="35"/>
    </row>
    <row r="88" spans="1:24" s="5" customFormat="1" ht="22" customHeight="1">
      <c r="A88" s="65"/>
      <c r="B88" s="78"/>
      <c r="C88" s="78"/>
      <c r="D88" s="78"/>
      <c r="E88" s="78"/>
      <c r="F88" s="65"/>
      <c r="G88" s="65"/>
      <c r="H88" s="65"/>
      <c r="I88" s="65"/>
      <c r="J88" s="65"/>
      <c r="K88" s="65"/>
      <c r="L88" s="65"/>
      <c r="M88" s="65"/>
      <c r="O88" s="6"/>
      <c r="P88" s="6"/>
      <c r="Q88" s="6"/>
      <c r="R88" s="6"/>
      <c r="S88" s="4"/>
      <c r="U88" s="35"/>
      <c r="V88" s="4"/>
    </row>
    <row r="89" spans="1:24" s="5" customFormat="1" ht="22" customHeight="1">
      <c r="A89" s="65"/>
      <c r="B89" s="71"/>
      <c r="C89" s="71"/>
      <c r="D89" s="71"/>
      <c r="E89" s="71"/>
      <c r="F89" s="71"/>
      <c r="G89" s="71"/>
      <c r="H89" s="71"/>
      <c r="I89" s="65"/>
      <c r="J89" s="65"/>
      <c r="K89" s="66"/>
      <c r="L89" s="66"/>
      <c r="M89" s="66"/>
      <c r="O89" s="6"/>
      <c r="P89" s="6"/>
      <c r="Q89" s="6"/>
      <c r="R89" s="6"/>
      <c r="S89" s="4"/>
      <c r="U89" s="35"/>
    </row>
    <row r="90" spans="1:24" s="5" customFormat="1" ht="22" customHeight="1">
      <c r="A90" s="65"/>
      <c r="B90" s="78"/>
      <c r="C90" s="78"/>
      <c r="D90" s="78"/>
      <c r="E90" s="78"/>
      <c r="F90" s="66"/>
      <c r="G90" s="218"/>
      <c r="H90" s="218"/>
      <c r="I90" s="66"/>
      <c r="J90" s="65"/>
      <c r="K90" s="65"/>
      <c r="L90" s="65"/>
      <c r="M90" s="65"/>
      <c r="N90" s="4"/>
      <c r="O90" s="6"/>
      <c r="P90" s="35"/>
      <c r="Q90" s="35"/>
      <c r="R90" s="35"/>
      <c r="S90" s="12"/>
      <c r="U90" s="35"/>
      <c r="V90" s="4"/>
    </row>
    <row r="91" spans="1:24" s="5" customFormat="1" ht="22" customHeight="1">
      <c r="A91" s="65"/>
      <c r="B91" s="75"/>
      <c r="C91" s="75"/>
      <c r="D91" s="75"/>
      <c r="E91" s="75"/>
      <c r="F91" s="75"/>
      <c r="G91" s="75"/>
      <c r="H91" s="75"/>
      <c r="I91" s="65"/>
      <c r="J91" s="66"/>
      <c r="K91" s="66"/>
      <c r="L91" s="66"/>
      <c r="M91" s="66"/>
      <c r="O91" s="6"/>
      <c r="P91" s="35"/>
      <c r="Q91" s="35"/>
      <c r="R91" s="35"/>
      <c r="U91" s="35"/>
      <c r="V91" s="12"/>
    </row>
    <row r="92" spans="1:24" s="4" customFormat="1" ht="22" customHeight="1">
      <c r="A92" s="65"/>
      <c r="B92" s="78"/>
      <c r="C92" s="78"/>
      <c r="D92" s="78"/>
      <c r="E92" s="78"/>
      <c r="F92" s="219"/>
      <c r="G92" s="219"/>
      <c r="H92" s="219"/>
      <c r="I92" s="66"/>
      <c r="J92" s="65"/>
      <c r="K92" s="216"/>
      <c r="L92" s="216"/>
      <c r="M92" s="216"/>
      <c r="O92" s="6"/>
      <c r="P92" s="35"/>
      <c r="Q92" s="35"/>
      <c r="R92" s="35"/>
      <c r="S92" s="5"/>
      <c r="U92" s="6"/>
      <c r="V92" s="5"/>
    </row>
    <row r="93" spans="1:24" s="6" customFormat="1" ht="22" customHeight="1">
      <c r="A93" s="65"/>
      <c r="B93" s="78"/>
      <c r="C93" s="78"/>
      <c r="D93" s="78"/>
      <c r="E93" s="78"/>
      <c r="F93" s="78"/>
      <c r="G93" s="78"/>
      <c r="H93" s="78"/>
      <c r="I93" s="216"/>
      <c r="J93" s="65"/>
      <c r="K93" s="65"/>
      <c r="L93" s="65"/>
      <c r="M93" s="65"/>
      <c r="N93" s="12"/>
      <c r="P93" s="35"/>
      <c r="Q93" s="35"/>
      <c r="R93" s="35"/>
      <c r="S93" s="5"/>
      <c r="U93" s="4"/>
      <c r="V93" s="5"/>
    </row>
    <row r="94" spans="1:24" s="1" customFormat="1" ht="22" customHeight="1">
      <c r="A94" s="66"/>
      <c r="B94" s="78"/>
      <c r="C94" s="78"/>
      <c r="D94" s="78"/>
      <c r="E94" s="78"/>
      <c r="F94" s="65"/>
      <c r="G94" s="65"/>
      <c r="H94" s="65"/>
      <c r="I94" s="65"/>
      <c r="J94" s="65"/>
      <c r="K94" s="65"/>
      <c r="L94" s="65"/>
      <c r="M94" s="65"/>
      <c r="N94" s="5"/>
      <c r="O94" s="6"/>
      <c r="P94" s="35"/>
      <c r="Q94" s="35"/>
      <c r="R94" s="35"/>
      <c r="S94" s="5"/>
      <c r="U94" s="5"/>
      <c r="V94" s="5"/>
    </row>
    <row r="95" spans="1:24" s="1" customFormat="1" ht="22" customHeight="1">
      <c r="A95" s="216"/>
      <c r="B95" s="78"/>
      <c r="C95" s="78"/>
      <c r="D95" s="78"/>
      <c r="E95" s="78"/>
      <c r="F95" s="65"/>
      <c r="G95" s="65"/>
      <c r="H95" s="65"/>
      <c r="I95" s="65"/>
      <c r="J95" s="65"/>
      <c r="K95" s="65"/>
      <c r="L95" s="65"/>
      <c r="M95" s="65"/>
      <c r="N95" s="5"/>
      <c r="O95" s="6"/>
      <c r="P95" s="35"/>
      <c r="Q95" s="35"/>
      <c r="R95" s="35"/>
      <c r="S95" s="5"/>
      <c r="U95" s="5"/>
      <c r="V95" s="5"/>
    </row>
    <row r="96" spans="1:24" s="1" customFormat="1" ht="22" customHeight="1">
      <c r="A96" s="65"/>
      <c r="B96" s="78"/>
      <c r="C96" s="78"/>
      <c r="D96" s="78"/>
      <c r="E96" s="78"/>
      <c r="F96" s="65"/>
      <c r="G96" s="65"/>
      <c r="H96" s="65"/>
      <c r="I96" s="65"/>
      <c r="J96" s="65"/>
      <c r="K96" s="65"/>
      <c r="L96" s="65"/>
      <c r="M96" s="65"/>
      <c r="N96" s="5"/>
      <c r="O96" s="6"/>
      <c r="P96" s="35"/>
      <c r="Q96" s="35"/>
      <c r="R96" s="35"/>
      <c r="S96" s="5"/>
      <c r="U96" s="5"/>
      <c r="V96" s="5"/>
    </row>
    <row r="97" spans="1:22" s="1" customFormat="1" ht="22" customHeight="1">
      <c r="A97" s="65"/>
      <c r="B97" s="78"/>
      <c r="C97" s="78"/>
      <c r="D97" s="78"/>
      <c r="E97" s="78"/>
      <c r="F97" s="65"/>
      <c r="G97" s="65"/>
      <c r="H97" s="65"/>
      <c r="I97" s="65"/>
      <c r="J97" s="66"/>
      <c r="K97" s="65"/>
      <c r="L97" s="65"/>
      <c r="M97" s="65"/>
      <c r="N97" s="5"/>
      <c r="O97" s="6"/>
      <c r="P97" s="35"/>
      <c r="Q97" s="35"/>
      <c r="R97" s="35"/>
      <c r="S97" s="5"/>
      <c r="U97" s="5"/>
      <c r="V97" s="5"/>
    </row>
    <row r="98" spans="1:22" s="4" customFormat="1" ht="22" customHeight="1">
      <c r="A98" s="65"/>
      <c r="B98" s="75"/>
      <c r="C98" s="75"/>
      <c r="D98" s="75"/>
      <c r="E98" s="75"/>
      <c r="F98" s="75"/>
      <c r="G98" s="75"/>
      <c r="H98" s="75"/>
      <c r="I98" s="65"/>
      <c r="J98" s="54"/>
      <c r="K98" s="65"/>
      <c r="L98" s="65"/>
      <c r="M98" s="65"/>
      <c r="N98" s="5"/>
      <c r="O98" s="6"/>
      <c r="P98" s="35"/>
      <c r="Q98" s="35"/>
      <c r="R98" s="35"/>
      <c r="S98" s="5"/>
      <c r="U98" s="5"/>
    </row>
    <row r="99" spans="1:22" s="5" customFormat="1" ht="22" customHeight="1">
      <c r="A99" s="54"/>
      <c r="B99" s="66"/>
      <c r="C99" s="54"/>
      <c r="D99" s="54"/>
      <c r="E99" s="54"/>
      <c r="F99" s="65"/>
      <c r="G99" s="65"/>
      <c r="H99" s="65"/>
      <c r="I99" s="65"/>
      <c r="J99" s="65"/>
      <c r="K99" s="65"/>
      <c r="L99" s="65"/>
      <c r="M99" s="65"/>
      <c r="O99" s="6"/>
      <c r="P99" s="6"/>
      <c r="Q99" s="6"/>
      <c r="R99" s="6"/>
      <c r="S99" s="4"/>
      <c r="V99" s="6"/>
    </row>
    <row r="100" spans="1:22" s="5" customFormat="1" ht="22" customHeight="1">
      <c r="A100" s="98"/>
      <c r="B100" s="65"/>
      <c r="C100" s="54"/>
      <c r="D100" s="54"/>
      <c r="E100" s="54"/>
      <c r="F100" s="65"/>
      <c r="G100" s="65"/>
      <c r="H100" s="65"/>
      <c r="I100" s="65"/>
      <c r="J100" s="65"/>
      <c r="K100" s="66"/>
      <c r="L100" s="66"/>
      <c r="M100" s="66"/>
      <c r="O100" s="4"/>
      <c r="P100" s="4"/>
      <c r="Q100" s="4"/>
      <c r="R100" s="4"/>
      <c r="S100" s="6"/>
      <c r="U100" s="4"/>
      <c r="V100" s="1"/>
    </row>
    <row r="101" spans="1:22" s="5" customFormat="1" ht="22" customHeight="1">
      <c r="A101" s="54"/>
      <c r="B101" s="65"/>
      <c r="C101" s="54"/>
      <c r="D101" s="54"/>
      <c r="E101" s="54"/>
      <c r="F101" s="66"/>
      <c r="G101" s="66"/>
      <c r="H101" s="66"/>
      <c r="I101" s="66"/>
      <c r="J101" s="65"/>
      <c r="K101" s="67"/>
      <c r="L101" s="67"/>
      <c r="M101" s="67"/>
      <c r="N101" s="4"/>
      <c r="S101" s="1"/>
      <c r="V101" s="1"/>
    </row>
    <row r="102" spans="1:22" s="4" customFormat="1" ht="22" customHeight="1">
      <c r="A102" s="62"/>
      <c r="B102" s="65"/>
      <c r="C102" s="54"/>
      <c r="D102" s="54"/>
      <c r="E102" s="54"/>
      <c r="F102" s="67"/>
      <c r="G102" s="67"/>
      <c r="H102" s="67"/>
      <c r="I102" s="67"/>
      <c r="J102" s="54"/>
      <c r="K102" s="54"/>
      <c r="L102" s="54"/>
      <c r="M102" s="54"/>
      <c r="N102" s="6"/>
      <c r="O102" s="5"/>
      <c r="P102" s="5"/>
      <c r="Q102" s="5"/>
      <c r="R102" s="5"/>
      <c r="S102" s="1"/>
      <c r="V102" s="1"/>
    </row>
    <row r="103" spans="1:22" s="5" customFormat="1" ht="22" customHeight="1">
      <c r="A103" s="66"/>
      <c r="B103" s="66"/>
      <c r="C103" s="66"/>
      <c r="D103" s="66"/>
      <c r="E103" s="66"/>
      <c r="F103" s="54"/>
      <c r="G103" s="54"/>
      <c r="H103" s="54"/>
      <c r="I103" s="54"/>
      <c r="J103" s="54"/>
      <c r="K103" s="54"/>
      <c r="L103" s="54"/>
      <c r="M103" s="54"/>
      <c r="N103" s="1"/>
      <c r="S103" s="1"/>
      <c r="U103" s="12"/>
      <c r="V103" s="1"/>
    </row>
    <row r="104" spans="1:22" s="5" customFormat="1" ht="22" customHeight="1">
      <c r="A104" s="65"/>
      <c r="B104" s="54"/>
      <c r="C104" s="65"/>
      <c r="D104" s="65"/>
      <c r="E104" s="65"/>
      <c r="F104" s="54"/>
      <c r="G104" s="54"/>
      <c r="H104" s="54"/>
      <c r="I104" s="54"/>
      <c r="J104" s="54"/>
      <c r="K104" s="54"/>
      <c r="L104" s="54"/>
      <c r="M104" s="54"/>
      <c r="N104" s="1"/>
      <c r="S104" s="1"/>
      <c r="V104" s="4"/>
    </row>
    <row r="105" spans="1:22" s="5" customFormat="1" ht="22" customHeight="1">
      <c r="A105" s="65"/>
      <c r="B105" s="65"/>
      <c r="C105" s="65"/>
      <c r="D105" s="65"/>
      <c r="E105" s="65"/>
      <c r="F105" s="54"/>
      <c r="G105" s="54"/>
      <c r="H105" s="54"/>
      <c r="I105" s="54"/>
      <c r="J105" s="54"/>
      <c r="K105" s="54"/>
      <c r="L105" s="54"/>
      <c r="M105" s="54"/>
      <c r="N105" s="1"/>
      <c r="S105" s="4"/>
    </row>
    <row r="106" spans="1:22" s="5" customFormat="1" ht="22" customHeight="1">
      <c r="A106" s="65"/>
      <c r="B106" s="65"/>
      <c r="C106" s="65"/>
      <c r="D106" s="65"/>
      <c r="E106" s="65"/>
      <c r="F106" s="54"/>
      <c r="G106" s="54"/>
      <c r="H106" s="54"/>
      <c r="I106" s="54"/>
      <c r="J106" s="66"/>
      <c r="K106" s="66"/>
      <c r="L106" s="66"/>
      <c r="M106" s="66"/>
      <c r="N106" s="1"/>
    </row>
    <row r="107" spans="1:22" s="5" customFormat="1" ht="22" customHeight="1">
      <c r="A107" s="66"/>
      <c r="B107" s="78"/>
      <c r="C107" s="78"/>
      <c r="D107" s="78"/>
      <c r="E107" s="78"/>
      <c r="F107" s="78"/>
      <c r="G107" s="78"/>
      <c r="H107" s="78"/>
      <c r="I107" s="66"/>
      <c r="J107" s="65"/>
      <c r="K107" s="65"/>
      <c r="L107" s="65"/>
      <c r="M107" s="65"/>
      <c r="N107" s="4"/>
      <c r="O107" s="4"/>
      <c r="P107" s="4"/>
      <c r="Q107" s="4"/>
      <c r="R107" s="4"/>
    </row>
    <row r="108" spans="1:22" s="4" customFormat="1" ht="22" customHeight="1">
      <c r="A108" s="65"/>
      <c r="B108" s="54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5"/>
      <c r="O108" s="5"/>
      <c r="P108" s="5"/>
      <c r="Q108" s="5"/>
      <c r="R108" s="5"/>
      <c r="S108" s="5"/>
      <c r="U108" s="5"/>
      <c r="V108" s="5"/>
    </row>
    <row r="109" spans="1:22" s="1" customFormat="1" ht="22" customHeight="1">
      <c r="A109" s="65"/>
      <c r="B109" s="54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5"/>
      <c r="O109" s="4"/>
      <c r="P109" s="4"/>
      <c r="Q109" s="4"/>
      <c r="R109" s="4"/>
      <c r="S109" s="4"/>
      <c r="U109" s="5"/>
      <c r="V109" s="4"/>
    </row>
    <row r="110" spans="1:22" s="1" customFormat="1" ht="22" customHeight="1">
      <c r="A110" s="66"/>
      <c r="B110" s="66"/>
      <c r="C110" s="66"/>
      <c r="D110" s="66"/>
      <c r="E110" s="66"/>
      <c r="F110" s="65"/>
      <c r="G110" s="65"/>
      <c r="H110" s="65"/>
      <c r="I110" s="65"/>
      <c r="J110" s="66"/>
      <c r="K110" s="66"/>
      <c r="L110" s="66"/>
      <c r="M110" s="66"/>
      <c r="N110" s="5"/>
      <c r="O110" s="12"/>
      <c r="P110" s="12"/>
      <c r="Q110" s="12"/>
      <c r="R110" s="12"/>
      <c r="S110" s="5"/>
      <c r="U110" s="5"/>
      <c r="V110" s="5"/>
    </row>
    <row r="111" spans="1:22" s="1" customFormat="1" ht="22" customHeight="1">
      <c r="A111" s="65"/>
      <c r="B111" s="78"/>
      <c r="C111" s="78"/>
      <c r="D111" s="78"/>
      <c r="E111" s="78"/>
      <c r="F111" s="218"/>
      <c r="G111" s="218"/>
      <c r="H111" s="218"/>
      <c r="I111" s="66"/>
      <c r="J111" s="65"/>
      <c r="K111" s="65"/>
      <c r="L111" s="65"/>
      <c r="M111" s="65"/>
      <c r="N111" s="4"/>
      <c r="O111" s="5"/>
      <c r="P111" s="5"/>
      <c r="Q111" s="5"/>
      <c r="R111" s="5"/>
      <c r="S111" s="5"/>
      <c r="U111" s="5"/>
    </row>
    <row r="112" spans="1:22" s="4" customFormat="1" ht="22" customHeight="1">
      <c r="A112" s="66"/>
      <c r="B112" s="71"/>
      <c r="C112" s="71"/>
      <c r="D112" s="71"/>
      <c r="E112" s="71"/>
      <c r="F112" s="71"/>
      <c r="G112" s="71"/>
      <c r="H112" s="71"/>
      <c r="I112" s="65"/>
      <c r="J112" s="65"/>
      <c r="K112" s="65"/>
      <c r="L112" s="65"/>
      <c r="M112" s="65"/>
      <c r="N112" s="5"/>
      <c r="O112" s="5"/>
      <c r="P112" s="5"/>
      <c r="Q112" s="5"/>
      <c r="R112" s="5"/>
      <c r="S112" s="5"/>
      <c r="U112" s="6"/>
      <c r="V112" s="5"/>
    </row>
    <row r="113" spans="1:26" s="5" customFormat="1" ht="22" customHeight="1">
      <c r="A113" s="62"/>
      <c r="B113" s="54"/>
      <c r="C113" s="54"/>
      <c r="D113" s="54"/>
      <c r="E113" s="54"/>
      <c r="F113" s="65"/>
      <c r="G113" s="65"/>
      <c r="H113" s="65"/>
      <c r="I113" s="65"/>
      <c r="J113" s="65"/>
      <c r="K113" s="65"/>
      <c r="L113" s="65"/>
      <c r="M113" s="65"/>
      <c r="U113" s="1"/>
    </row>
    <row r="114" spans="1:26" s="5" customFormat="1" ht="22" customHeight="1">
      <c r="A114" s="62"/>
      <c r="B114" s="220"/>
      <c r="C114" s="54"/>
      <c r="D114" s="54"/>
      <c r="E114" s="54"/>
      <c r="F114" s="65"/>
      <c r="G114" s="65"/>
      <c r="H114" s="65"/>
      <c r="I114" s="65"/>
      <c r="J114" s="65"/>
      <c r="K114" s="65"/>
      <c r="L114" s="65"/>
      <c r="M114" s="65"/>
      <c r="U114" s="1"/>
      <c r="V114" s="4"/>
    </row>
    <row r="115" spans="1:26" s="4" customFormat="1" ht="22" customHeight="1">
      <c r="A115" s="66"/>
      <c r="B115" s="66"/>
      <c r="C115" s="220"/>
      <c r="D115" s="66"/>
      <c r="E115" s="66"/>
      <c r="F115" s="65"/>
      <c r="G115" s="65"/>
      <c r="H115" s="65"/>
      <c r="I115" s="65"/>
      <c r="J115" s="54"/>
      <c r="K115" s="54"/>
      <c r="L115" s="54"/>
      <c r="M115" s="54"/>
      <c r="N115" s="5"/>
      <c r="O115" s="5"/>
      <c r="P115" s="5"/>
      <c r="Q115" s="5"/>
      <c r="R115" s="5"/>
      <c r="U115" s="1"/>
      <c r="V115" s="1"/>
    </row>
    <row r="116" spans="1:26" s="5" customFormat="1" ht="22" customHeight="1">
      <c r="A116" s="65"/>
      <c r="B116" s="86"/>
      <c r="C116" s="65"/>
      <c r="D116" s="65"/>
      <c r="E116" s="65"/>
      <c r="F116" s="54"/>
      <c r="G116" s="54"/>
      <c r="H116" s="54"/>
      <c r="I116" s="54"/>
      <c r="J116" s="54"/>
      <c r="K116" s="54"/>
      <c r="L116" s="54"/>
      <c r="M116" s="54"/>
      <c r="N116" s="1"/>
      <c r="S116" s="1"/>
      <c r="U116" s="1"/>
      <c r="V116" s="1"/>
    </row>
    <row r="117" spans="1:26" s="5" customFormat="1" ht="22" customHeight="1">
      <c r="A117" s="65"/>
      <c r="B117" s="86"/>
      <c r="C117" s="65"/>
      <c r="D117" s="65"/>
      <c r="E117" s="65"/>
      <c r="F117" s="65"/>
      <c r="G117" s="65"/>
      <c r="H117" s="65"/>
      <c r="I117" s="54"/>
      <c r="J117" s="54"/>
      <c r="K117" s="54"/>
      <c r="L117" s="54"/>
      <c r="M117" s="54"/>
      <c r="N117" s="1"/>
      <c r="S117" s="1"/>
      <c r="U117" s="4"/>
      <c r="V117" s="1"/>
    </row>
    <row r="118" spans="1:26" s="5" customFormat="1" ht="22" customHeight="1">
      <c r="A118" s="66"/>
      <c r="B118" s="54"/>
      <c r="C118" s="54"/>
      <c r="D118" s="54"/>
      <c r="E118" s="54"/>
      <c r="F118" s="54"/>
      <c r="G118" s="54"/>
      <c r="H118" s="54"/>
      <c r="I118" s="54"/>
      <c r="J118" s="66"/>
      <c r="K118" s="66"/>
      <c r="L118" s="66"/>
      <c r="M118" s="66"/>
      <c r="N118" s="1"/>
      <c r="O118" s="4"/>
      <c r="P118" s="4"/>
      <c r="Q118" s="4"/>
      <c r="R118" s="4"/>
      <c r="S118" s="1"/>
      <c r="V118" s="4"/>
    </row>
    <row r="119" spans="1:26" s="4" customFormat="1" ht="22" customHeight="1">
      <c r="A119" s="65"/>
      <c r="B119" s="54"/>
      <c r="C119" s="54"/>
      <c r="D119" s="65"/>
      <c r="E119" s="65"/>
      <c r="F119" s="65"/>
      <c r="G119" s="65"/>
      <c r="H119" s="65"/>
      <c r="I119" s="66"/>
      <c r="J119" s="65"/>
      <c r="K119" s="65"/>
      <c r="L119" s="65"/>
      <c r="M119" s="65"/>
      <c r="O119" s="6"/>
      <c r="P119" s="6"/>
      <c r="Q119" s="6"/>
      <c r="R119" s="6"/>
      <c r="U119" s="5"/>
      <c r="V119" s="5"/>
    </row>
    <row r="120" spans="1:26" s="1" customFormat="1" ht="22" customHeight="1">
      <c r="A120" s="65"/>
      <c r="B120" s="54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5"/>
      <c r="S120" s="5"/>
      <c r="U120" s="5"/>
      <c r="V120" s="5"/>
    </row>
    <row r="121" spans="1:26" s="5" customFormat="1" ht="22" customHeight="1">
      <c r="A121" s="65"/>
      <c r="B121" s="54"/>
      <c r="C121" s="65"/>
      <c r="D121" s="65"/>
      <c r="E121" s="65"/>
      <c r="F121" s="65"/>
      <c r="G121" s="65"/>
      <c r="H121" s="65"/>
      <c r="I121" s="65"/>
      <c r="J121" s="66"/>
      <c r="K121" s="66"/>
      <c r="L121" s="66"/>
      <c r="M121" s="66"/>
      <c r="O121" s="1"/>
      <c r="P121" s="1"/>
      <c r="Q121" s="1"/>
      <c r="R121" s="1"/>
      <c r="U121" s="4"/>
      <c r="V121" s="4"/>
    </row>
    <row r="122" spans="1:26" s="5" customFormat="1" ht="22" customHeight="1">
      <c r="A122" s="66"/>
      <c r="B122" s="88"/>
      <c r="C122" s="221"/>
      <c r="D122" s="221"/>
      <c r="E122" s="221"/>
      <c r="F122" s="221"/>
      <c r="G122" s="221"/>
      <c r="H122" s="221"/>
      <c r="I122" s="66"/>
      <c r="J122" s="66"/>
      <c r="K122" s="66"/>
      <c r="L122" s="66"/>
      <c r="M122" s="66"/>
      <c r="N122" s="4"/>
      <c r="O122" s="1"/>
      <c r="P122" s="1"/>
      <c r="Q122" s="1"/>
      <c r="R122" s="1"/>
      <c r="S122" s="4"/>
    </row>
    <row r="123" spans="1:26" s="1" customFormat="1" ht="22" customHeight="1">
      <c r="A123" s="54"/>
      <c r="B123" s="54"/>
      <c r="C123" s="54"/>
      <c r="D123" s="54"/>
      <c r="E123" s="54"/>
      <c r="F123" s="66"/>
      <c r="G123" s="66"/>
      <c r="H123" s="66"/>
      <c r="I123" s="66"/>
      <c r="J123" s="65"/>
      <c r="K123" s="65"/>
      <c r="L123" s="65"/>
      <c r="M123" s="65"/>
      <c r="N123" s="4"/>
      <c r="S123" s="5"/>
      <c r="U123" s="5"/>
      <c r="V123" s="5"/>
    </row>
    <row r="124" spans="1:26" s="1" customFormat="1" ht="22" customHeight="1">
      <c r="A124" s="65"/>
      <c r="B124" s="54"/>
      <c r="C124" s="54"/>
      <c r="D124" s="54"/>
      <c r="E124" s="54"/>
      <c r="F124" s="65"/>
      <c r="G124" s="65"/>
      <c r="H124" s="65"/>
      <c r="I124" s="65"/>
      <c r="J124" s="65"/>
      <c r="K124" s="65"/>
      <c r="L124" s="65"/>
      <c r="M124" s="65"/>
      <c r="N124" s="5"/>
      <c r="O124" s="4"/>
      <c r="P124" s="4"/>
      <c r="Q124" s="4"/>
      <c r="R124" s="4"/>
      <c r="S124" s="5"/>
      <c r="U124" s="5"/>
      <c r="V124" s="5"/>
    </row>
    <row r="125" spans="1:26" s="1" customFormat="1" ht="22" customHeight="1">
      <c r="A125" s="65"/>
      <c r="B125" s="54"/>
      <c r="C125" s="65"/>
      <c r="D125" s="65"/>
      <c r="E125" s="65"/>
      <c r="F125" s="78"/>
      <c r="G125" s="78"/>
      <c r="H125" s="78"/>
      <c r="I125" s="65"/>
      <c r="J125" s="66"/>
      <c r="K125" s="66"/>
      <c r="L125" s="66"/>
      <c r="M125" s="66"/>
      <c r="N125" s="5"/>
      <c r="O125" s="5"/>
      <c r="P125" s="5"/>
      <c r="Q125" s="5"/>
      <c r="R125" s="5"/>
      <c r="S125" s="5"/>
      <c r="U125" s="5"/>
      <c r="V125" s="4"/>
    </row>
    <row r="126" spans="1:26" s="4" customFormat="1" ht="22" customHeight="1">
      <c r="A126" s="54"/>
      <c r="B126" s="54"/>
      <c r="C126" s="54"/>
      <c r="D126" s="54"/>
      <c r="E126" s="54"/>
      <c r="F126" s="222"/>
      <c r="G126" s="66"/>
      <c r="H126" s="66"/>
      <c r="I126" s="66"/>
      <c r="J126" s="54"/>
      <c r="K126" s="54"/>
      <c r="L126" s="54"/>
      <c r="M126" s="54"/>
      <c r="O126" s="5"/>
      <c r="P126" s="5"/>
      <c r="Q126" s="5"/>
      <c r="R126" s="5"/>
      <c r="U126" s="1"/>
      <c r="V126" s="5"/>
    </row>
    <row r="127" spans="1:26" s="1" customFormat="1" ht="22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65"/>
      <c r="K127" s="65"/>
      <c r="L127" s="65"/>
      <c r="M127" s="65"/>
      <c r="S127" s="5"/>
      <c r="T127" s="5"/>
      <c r="U127" s="5"/>
      <c r="V127" s="5"/>
      <c r="Z127" s="5"/>
    </row>
    <row r="128" spans="1:26" s="1" customFormat="1" ht="22" customHeight="1">
      <c r="A128" s="54"/>
      <c r="B128" s="62"/>
      <c r="C128" s="160"/>
      <c r="D128" s="160"/>
      <c r="E128" s="160"/>
      <c r="F128" s="223"/>
      <c r="G128" s="223"/>
      <c r="H128" s="223"/>
      <c r="I128" s="65"/>
      <c r="J128" s="65"/>
      <c r="K128" s="65"/>
      <c r="L128" s="65"/>
      <c r="M128" s="65"/>
      <c r="N128" s="5"/>
      <c r="O128" s="5"/>
      <c r="P128" s="5"/>
      <c r="Q128" s="5"/>
      <c r="R128" s="5"/>
      <c r="S128" s="4"/>
      <c r="T128" s="4"/>
      <c r="U128" s="4"/>
      <c r="V128" s="4"/>
      <c r="W128" s="5"/>
    </row>
    <row r="129" spans="1:26" s="1" customFormat="1" ht="22" customHeight="1">
      <c r="A129" s="62"/>
      <c r="B129" s="54"/>
      <c r="C129" s="54"/>
      <c r="D129" s="54"/>
      <c r="E129" s="54"/>
      <c r="F129" s="65"/>
      <c r="G129" s="65"/>
      <c r="H129" s="65"/>
      <c r="I129" s="65"/>
      <c r="J129" s="54"/>
      <c r="K129" s="54"/>
      <c r="L129" s="54"/>
      <c r="M129" s="54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4"/>
      <c r="Y129" s="4"/>
    </row>
    <row r="130" spans="1:26" s="10" customFormat="1" ht="22" customHeight="1">
      <c r="A130" s="66"/>
      <c r="B130" s="54"/>
      <c r="C130" s="218"/>
      <c r="D130" s="218"/>
      <c r="E130" s="218"/>
      <c r="F130" s="218"/>
      <c r="G130" s="218"/>
      <c r="H130" s="218"/>
      <c r="I130" s="54"/>
      <c r="J130" s="54"/>
      <c r="K130" s="54"/>
      <c r="L130" s="54"/>
      <c r="M130" s="54"/>
      <c r="N130" s="1"/>
      <c r="O130" s="1"/>
      <c r="P130" s="1"/>
      <c r="Q130" s="1"/>
      <c r="R130" s="1"/>
      <c r="S130" s="5"/>
      <c r="T130" s="5"/>
      <c r="U130" s="5"/>
      <c r="V130" s="5"/>
      <c r="W130" s="1"/>
      <c r="X130" s="5"/>
      <c r="Y130" s="5"/>
      <c r="Z130" s="1"/>
    </row>
    <row r="131" spans="1:26" s="10" customFormat="1" ht="22" customHeight="1">
      <c r="A131" s="62"/>
      <c r="B131" s="54"/>
      <c r="C131" s="224"/>
      <c r="D131" s="224"/>
      <c r="E131" s="224"/>
      <c r="F131" s="224"/>
      <c r="G131" s="224"/>
      <c r="H131" s="224"/>
      <c r="I131" s="54"/>
      <c r="J131" s="54"/>
      <c r="K131" s="54"/>
      <c r="L131" s="54"/>
      <c r="M131" s="54"/>
      <c r="N131" s="1"/>
      <c r="O131" s="1"/>
      <c r="P131" s="1"/>
      <c r="Q131" s="1"/>
      <c r="R131" s="1"/>
      <c r="S131" s="5"/>
      <c r="T131" s="5"/>
      <c r="U131" s="5"/>
      <c r="V131" s="5"/>
      <c r="W131" s="1"/>
      <c r="X131" s="5"/>
      <c r="Y131" s="5"/>
      <c r="Z131" s="1"/>
    </row>
    <row r="132" spans="1:26" s="2" customFormat="1" ht="22" customHeight="1">
      <c r="A132" s="62"/>
      <c r="B132" s="88"/>
      <c r="C132" s="88"/>
      <c r="D132" s="88"/>
      <c r="E132" s="88"/>
      <c r="F132" s="88"/>
      <c r="G132" s="88"/>
      <c r="H132" s="88"/>
      <c r="I132" s="54"/>
      <c r="J132" s="54"/>
      <c r="K132" s="54"/>
      <c r="L132" s="54"/>
      <c r="M132" s="54"/>
      <c r="N132" s="1"/>
      <c r="O132" s="1"/>
      <c r="P132" s="1"/>
      <c r="Q132" s="1"/>
      <c r="R132" s="1"/>
      <c r="S132" s="5"/>
      <c r="T132" s="5"/>
      <c r="U132" s="5"/>
      <c r="V132" s="5"/>
      <c r="W132" s="1"/>
      <c r="X132" s="4"/>
      <c r="Y132" s="4"/>
      <c r="Z132" s="4"/>
    </row>
    <row r="133" spans="1:26" s="2" customFormat="1" ht="22" customHeight="1">
      <c r="A133" s="62"/>
      <c r="B133" s="225"/>
      <c r="C133" s="225"/>
      <c r="D133" s="225"/>
      <c r="E133" s="225"/>
      <c r="F133" s="54"/>
      <c r="G133" s="54"/>
      <c r="H133" s="54"/>
      <c r="I133" s="54"/>
      <c r="J133" s="66"/>
      <c r="K133" s="66"/>
      <c r="L133" s="66"/>
      <c r="M133" s="66"/>
      <c r="N133" s="1"/>
      <c r="O133" s="1"/>
      <c r="P133" s="1"/>
      <c r="Q133" s="1"/>
      <c r="R133" s="1"/>
      <c r="S133" s="1"/>
      <c r="T133" s="1"/>
      <c r="U133" s="1"/>
      <c r="V133" s="1"/>
      <c r="W133" s="4"/>
      <c r="X133" s="4"/>
      <c r="Y133" s="4"/>
      <c r="Z133" s="4"/>
    </row>
    <row r="134" spans="1:26" s="1" customFormat="1" ht="22" customHeight="1">
      <c r="A134" s="220"/>
      <c r="B134" s="54"/>
      <c r="C134" s="220"/>
      <c r="D134" s="220"/>
      <c r="E134" s="220"/>
      <c r="F134" s="220"/>
      <c r="G134" s="220"/>
      <c r="H134" s="220"/>
      <c r="I134" s="66"/>
      <c r="J134" s="54"/>
      <c r="K134" s="54"/>
      <c r="L134" s="54"/>
      <c r="M134" s="54"/>
      <c r="N134" s="4"/>
      <c r="O134" s="4"/>
      <c r="P134" s="4"/>
      <c r="Q134" s="4"/>
      <c r="R134" s="4"/>
      <c r="X134" s="5"/>
      <c r="Y134" s="5"/>
    </row>
    <row r="135" spans="1:26" s="1" customFormat="1" ht="22" customHeight="1">
      <c r="A135" s="220"/>
      <c r="B135" s="88"/>
      <c r="C135" s="88"/>
      <c r="D135" s="88"/>
      <c r="E135" s="88"/>
      <c r="F135" s="88"/>
      <c r="G135" s="88"/>
      <c r="H135" s="88"/>
      <c r="I135" s="54"/>
      <c r="J135" s="54"/>
      <c r="K135" s="54"/>
      <c r="L135" s="54"/>
      <c r="M135" s="54"/>
      <c r="X135" s="5"/>
      <c r="Y135" s="5"/>
    </row>
    <row r="136" spans="1:26" s="1" customFormat="1" ht="22" customHeight="1">
      <c r="A136" s="64"/>
      <c r="B136" s="79"/>
      <c r="C136" s="64"/>
      <c r="D136" s="64"/>
      <c r="E136" s="64"/>
      <c r="F136" s="64"/>
      <c r="G136" s="64"/>
      <c r="H136" s="64"/>
      <c r="I136" s="54"/>
      <c r="J136" s="54"/>
      <c r="K136" s="54"/>
      <c r="L136" s="54"/>
      <c r="M136" s="54"/>
      <c r="U136" s="4"/>
      <c r="V136" s="4"/>
      <c r="W136" s="4"/>
      <c r="X136" s="4"/>
      <c r="Y136" s="4"/>
      <c r="Z136" s="10"/>
    </row>
    <row r="137" spans="1:26" s="1" customFormat="1" ht="22" customHeight="1">
      <c r="A137" s="62"/>
      <c r="B137" s="54"/>
      <c r="C137" s="54"/>
      <c r="D137" s="54"/>
      <c r="E137" s="54"/>
      <c r="F137" s="54"/>
      <c r="G137" s="54"/>
      <c r="H137" s="54"/>
      <c r="I137" s="54"/>
      <c r="J137" s="220"/>
      <c r="K137" s="220"/>
      <c r="L137" s="220"/>
      <c r="M137" s="220"/>
      <c r="U137" s="5"/>
      <c r="V137" s="5"/>
      <c r="W137" s="5"/>
      <c r="Z137" s="10"/>
    </row>
    <row r="138" spans="1:26" s="1" customFormat="1" ht="22" customHeight="1">
      <c r="A138" s="62"/>
      <c r="B138" s="54"/>
      <c r="C138" s="54"/>
      <c r="D138" s="54"/>
      <c r="E138" s="54"/>
      <c r="F138" s="220"/>
      <c r="G138" s="220"/>
      <c r="H138" s="220"/>
      <c r="I138" s="220"/>
      <c r="J138" s="220"/>
      <c r="K138" s="220"/>
      <c r="L138" s="220"/>
      <c r="M138" s="220"/>
      <c r="N138" s="10"/>
      <c r="O138" s="10"/>
      <c r="P138" s="10"/>
      <c r="Q138" s="10"/>
      <c r="R138" s="10"/>
      <c r="S138" s="10"/>
      <c r="T138" s="10"/>
      <c r="U138" s="5"/>
      <c r="V138" s="5"/>
      <c r="W138" s="5"/>
      <c r="X138" s="5"/>
      <c r="Y138" s="5"/>
      <c r="Z138" s="2"/>
    </row>
    <row r="139" spans="1:26" s="1" customFormat="1" ht="22" customHeight="1">
      <c r="A139" s="62"/>
      <c r="B139" s="54"/>
      <c r="C139" s="54"/>
      <c r="D139" s="54"/>
      <c r="E139" s="54"/>
      <c r="F139" s="220"/>
      <c r="G139" s="220"/>
      <c r="H139" s="220"/>
      <c r="I139" s="220"/>
      <c r="J139" s="64"/>
      <c r="K139" s="64"/>
      <c r="L139" s="64"/>
      <c r="M139" s="64"/>
      <c r="N139" s="10"/>
      <c r="O139" s="10"/>
      <c r="P139" s="10"/>
      <c r="Q139" s="10"/>
      <c r="R139" s="10"/>
      <c r="S139" s="10"/>
      <c r="T139" s="10"/>
      <c r="U139" s="4"/>
      <c r="V139" s="4"/>
      <c r="W139" s="4"/>
      <c r="X139" s="5"/>
      <c r="Y139" s="5"/>
    </row>
    <row r="140" spans="1:26" s="1" customFormat="1" ht="18" customHeight="1">
      <c r="A140" s="62"/>
      <c r="B140" s="54"/>
      <c r="C140" s="54"/>
      <c r="D140" s="54"/>
      <c r="E140" s="54"/>
      <c r="F140" s="54"/>
      <c r="G140" s="54"/>
      <c r="H140" s="54"/>
      <c r="I140" s="64"/>
      <c r="J140" s="54"/>
      <c r="K140" s="54"/>
      <c r="L140" s="54"/>
      <c r="M140" s="54"/>
      <c r="N140" s="2"/>
      <c r="O140" s="2"/>
      <c r="P140" s="2"/>
      <c r="Q140" s="2"/>
      <c r="R140" s="2"/>
      <c r="S140" s="2"/>
      <c r="T140" s="2"/>
      <c r="U140" s="4"/>
      <c r="V140" s="4"/>
      <c r="W140" s="4"/>
    </row>
    <row r="141" spans="1:26" s="1" customFormat="1" ht="22" customHeight="1">
      <c r="A141" s="62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U141" s="5"/>
      <c r="V141" s="5"/>
      <c r="W141" s="5"/>
    </row>
    <row r="142" spans="1:26" s="1" customFormat="1" ht="22" customHeight="1">
      <c r="A142" s="62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U142" s="5"/>
      <c r="V142" s="5"/>
      <c r="W142" s="5"/>
    </row>
    <row r="143" spans="1:26" ht="22" customHeight="1">
      <c r="A143" s="62"/>
      <c r="B143" s="88"/>
      <c r="C143" s="88"/>
      <c r="D143" s="88"/>
      <c r="E143" s="88"/>
      <c r="F143" s="88"/>
      <c r="G143" s="88"/>
      <c r="H143" s="88"/>
      <c r="I143" s="54"/>
      <c r="J143" s="54"/>
      <c r="K143" s="54"/>
      <c r="L143" s="54"/>
      <c r="M143" s="54"/>
      <c r="N143" s="1"/>
      <c r="O143" s="1"/>
      <c r="P143" s="1"/>
      <c r="Q143" s="1"/>
      <c r="R143" s="1"/>
      <c r="S143" s="1"/>
      <c r="T143" s="1"/>
      <c r="U143" s="4"/>
      <c r="V143" s="4"/>
      <c r="W143" s="4"/>
      <c r="X143" s="1"/>
      <c r="Y143" s="1"/>
      <c r="Z143" s="1"/>
    </row>
    <row r="144" spans="1:26" ht="22" customHeight="1">
      <c r="A144" s="62"/>
      <c r="B144" s="54"/>
      <c r="C144" s="62"/>
      <c r="D144" s="62"/>
      <c r="E144" s="62"/>
      <c r="F144" s="66"/>
      <c r="G144" s="54"/>
      <c r="H144" s="54"/>
      <c r="I144" s="54"/>
      <c r="J144" s="54"/>
      <c r="K144" s="54"/>
      <c r="L144" s="54"/>
      <c r="M144" s="54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4"/>
      <c r="Y144" s="4"/>
      <c r="Z144" s="1"/>
    </row>
    <row r="145" spans="1:26" ht="22" customHeight="1">
      <c r="A145" s="226"/>
      <c r="B145" s="227"/>
      <c r="C145" s="183"/>
      <c r="D145" s="183"/>
      <c r="E145" s="183"/>
      <c r="F145" s="183"/>
      <c r="G145" s="183"/>
      <c r="H145" s="183"/>
      <c r="I145" s="54"/>
      <c r="J145" s="54"/>
      <c r="K145" s="54"/>
      <c r="L145" s="54"/>
      <c r="M145" s="54"/>
      <c r="N145" s="1"/>
      <c r="O145" s="1"/>
      <c r="P145" s="1"/>
      <c r="Q145" s="1"/>
      <c r="R145" s="1"/>
      <c r="S145" s="1"/>
      <c r="T145" s="1"/>
      <c r="U145" s="5"/>
      <c r="V145" s="5"/>
      <c r="W145" s="5"/>
      <c r="X145" s="1"/>
      <c r="Y145" s="1"/>
      <c r="Z145" s="1"/>
    </row>
    <row r="146" spans="1:26" ht="22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1"/>
      <c r="O146" s="1"/>
      <c r="P146" s="1"/>
      <c r="Q146" s="1"/>
      <c r="R146" s="1"/>
      <c r="S146" s="1"/>
      <c r="T146" s="1"/>
      <c r="U146" s="5"/>
      <c r="V146" s="5"/>
      <c r="W146" s="5"/>
      <c r="X146" s="1"/>
      <c r="Y146" s="1"/>
      <c r="Z146" s="1"/>
    </row>
    <row r="147" spans="1:26" ht="22" customHeight="1">
      <c r="A147" s="61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2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0"/>
      <c r="Y148" s="10"/>
      <c r="Z148" s="1"/>
    </row>
    <row r="149" spans="1:26" ht="22" customHeight="1">
      <c r="A149" s="54"/>
      <c r="B149" s="54"/>
      <c r="C149" s="54"/>
      <c r="D149" s="54"/>
      <c r="E149" s="54"/>
      <c r="F149" s="228"/>
      <c r="G149" s="54"/>
      <c r="H149" s="54"/>
      <c r="I149" s="54"/>
      <c r="J149" s="54"/>
      <c r="K149" s="54"/>
      <c r="L149" s="54"/>
      <c r="M149" s="54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0"/>
      <c r="Y149" s="10"/>
    </row>
    <row r="150" spans="1:26" ht="22" customHeight="1">
      <c r="A150" s="54"/>
      <c r="B150" s="54"/>
      <c r="C150" s="54"/>
      <c r="D150" s="54"/>
      <c r="E150" s="54"/>
      <c r="F150" s="73"/>
      <c r="G150" s="54"/>
      <c r="H150" s="54"/>
      <c r="I150" s="54"/>
      <c r="J150" s="54"/>
      <c r="K150" s="54"/>
      <c r="L150" s="54"/>
      <c r="M150" s="54"/>
      <c r="U150" s="1"/>
      <c r="V150" s="1"/>
      <c r="W150" s="1"/>
      <c r="X150" s="2"/>
      <c r="Y150" s="2"/>
    </row>
    <row r="151" spans="1:26" ht="22" customHeight="1">
      <c r="A151" s="54"/>
      <c r="B151" s="54"/>
      <c r="C151" s="54"/>
      <c r="D151" s="54"/>
      <c r="E151" s="54"/>
      <c r="F151" s="73"/>
      <c r="G151" s="54"/>
      <c r="H151" s="54"/>
      <c r="I151" s="54"/>
      <c r="J151" s="54"/>
      <c r="K151" s="54"/>
      <c r="L151" s="54"/>
      <c r="M151" s="54"/>
      <c r="U151" s="4"/>
      <c r="V151" s="4"/>
      <c r="W151" s="4"/>
      <c r="X151" s="1"/>
      <c r="Y151" s="1"/>
    </row>
    <row r="152" spans="1:26" ht="22" customHeight="1">
      <c r="A152" s="54"/>
      <c r="B152" s="54"/>
      <c r="C152" s="54"/>
      <c r="D152" s="54"/>
      <c r="E152" s="54"/>
      <c r="F152" s="73"/>
      <c r="G152" s="54"/>
      <c r="H152" s="54"/>
      <c r="I152" s="54"/>
      <c r="J152" s="54"/>
      <c r="K152" s="54"/>
      <c r="L152" s="54"/>
      <c r="M152" s="54"/>
      <c r="U152" s="1"/>
      <c r="V152" s="1"/>
      <c r="W152" s="1"/>
      <c r="X152" s="1"/>
      <c r="Y152" s="1"/>
    </row>
    <row r="153" spans="1:26" ht="22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U153" s="1"/>
      <c r="V153" s="1"/>
      <c r="W153" s="1"/>
      <c r="X153" s="1"/>
      <c r="Y153" s="1"/>
    </row>
    <row r="154" spans="1:26" ht="22" customHeight="1">
      <c r="A154" s="61"/>
      <c r="B154" s="54"/>
      <c r="C154" s="54"/>
      <c r="D154" s="54"/>
      <c r="E154" s="54"/>
      <c r="F154" s="73"/>
      <c r="G154" s="54"/>
      <c r="H154" s="54"/>
      <c r="I154" s="54"/>
      <c r="J154" s="54"/>
      <c r="K154" s="54"/>
      <c r="L154" s="54"/>
      <c r="M154" s="54"/>
      <c r="U154" s="1"/>
      <c r="V154" s="1"/>
      <c r="W154" s="1"/>
      <c r="X154" s="1"/>
      <c r="Y154" s="1"/>
    </row>
    <row r="155" spans="1:26" ht="22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U155" s="10"/>
      <c r="V155" s="10"/>
      <c r="W155" s="10"/>
      <c r="X155" s="1"/>
      <c r="Y155" s="1"/>
    </row>
    <row r="156" spans="1:26" ht="22" customHeight="1">
      <c r="A156" s="62"/>
      <c r="B156" s="54"/>
      <c r="C156" s="54"/>
      <c r="D156" s="73"/>
      <c r="E156" s="54"/>
      <c r="F156" s="73"/>
      <c r="G156" s="54"/>
      <c r="H156" s="54"/>
      <c r="I156" s="54"/>
      <c r="J156" s="54"/>
      <c r="K156" s="54"/>
      <c r="L156" s="54"/>
      <c r="M156" s="54"/>
      <c r="U156" s="10"/>
      <c r="V156" s="10"/>
      <c r="W156" s="10"/>
      <c r="X156" s="1"/>
      <c r="Y156" s="1"/>
    </row>
    <row r="157" spans="1:26" ht="22" customHeight="1">
      <c r="A157" s="62"/>
      <c r="B157" s="54"/>
      <c r="C157" s="54"/>
      <c r="D157" s="54"/>
      <c r="E157" s="54"/>
      <c r="F157" s="73"/>
      <c r="G157" s="54"/>
      <c r="H157" s="54"/>
      <c r="I157" s="54"/>
      <c r="J157" s="54"/>
      <c r="K157" s="54"/>
      <c r="L157" s="54"/>
      <c r="M157" s="54"/>
      <c r="U157" s="2"/>
      <c r="V157" s="2"/>
      <c r="W157" s="2"/>
      <c r="X157" s="1"/>
      <c r="Y157" s="1"/>
    </row>
    <row r="158" spans="1:26" ht="22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U158" s="1"/>
      <c r="V158" s="1"/>
      <c r="W158" s="1"/>
      <c r="X158" s="1"/>
      <c r="Y158" s="1"/>
    </row>
    <row r="159" spans="1:26" ht="22" customHeight="1">
      <c r="A159" s="62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U159" s="1"/>
      <c r="V159" s="1"/>
      <c r="W159" s="1"/>
      <c r="X159" s="1"/>
      <c r="Y159" s="1"/>
    </row>
    <row r="160" spans="1:26" ht="22" customHeight="1">
      <c r="A160" s="62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U160" s="1"/>
      <c r="V160" s="1"/>
      <c r="W160" s="1"/>
    </row>
    <row r="161" spans="1:23" ht="22" customHeight="1">
      <c r="A161" s="62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U161" s="1"/>
      <c r="V161" s="1"/>
      <c r="W161" s="1"/>
    </row>
    <row r="162" spans="1:23" ht="22" customHeight="1">
      <c r="A162" s="62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U162" s="1"/>
      <c r="V162" s="1"/>
      <c r="W162" s="1"/>
    </row>
    <row r="163" spans="1:23" ht="22" customHeight="1">
      <c r="A163" s="62"/>
      <c r="B163" s="54"/>
      <c r="C163" s="54"/>
      <c r="D163" s="54"/>
      <c r="E163" s="54"/>
      <c r="F163" s="73"/>
      <c r="G163" s="54"/>
      <c r="H163" s="54"/>
      <c r="I163" s="54"/>
      <c r="J163" s="54"/>
      <c r="K163" s="54"/>
      <c r="L163" s="54"/>
      <c r="M163" s="54"/>
    </row>
    <row r="164" spans="1:23" ht="22" customHeight="1">
      <c r="A164" s="62"/>
      <c r="B164" s="54"/>
      <c r="C164" s="54"/>
      <c r="D164" s="54"/>
      <c r="E164" s="54"/>
      <c r="F164" s="73"/>
      <c r="G164" s="54"/>
      <c r="H164" s="54"/>
      <c r="I164" s="54"/>
      <c r="J164" s="54"/>
      <c r="K164" s="54"/>
      <c r="L164" s="54"/>
      <c r="M164" s="54"/>
    </row>
    <row r="165" spans="1:23" ht="22" customHeight="1">
      <c r="A165" s="62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</row>
    <row r="166" spans="1:23" ht="22" customHeight="1">
      <c r="A166" s="62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</row>
    <row r="167" spans="1:23" ht="22" customHeight="1">
      <c r="A167" s="98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</row>
    <row r="168" spans="1:23" ht="22" customHeight="1">
      <c r="A168" s="62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</row>
    <row r="169" spans="1:23" ht="22" customHeight="1">
      <c r="A169" s="62"/>
      <c r="B169" s="54"/>
      <c r="C169" s="54"/>
      <c r="D169" s="54"/>
      <c r="E169" s="54"/>
      <c r="F169" s="73"/>
      <c r="G169" s="54"/>
      <c r="H169" s="54"/>
      <c r="I169" s="54"/>
      <c r="J169" s="54"/>
      <c r="K169" s="54"/>
      <c r="L169" s="54"/>
      <c r="M169" s="54"/>
    </row>
    <row r="170" spans="1:23" ht="22" customHeight="1">
      <c r="A170" s="62"/>
      <c r="B170" s="54"/>
      <c r="C170" s="54"/>
      <c r="D170" s="54"/>
      <c r="E170" s="54"/>
      <c r="F170" s="73"/>
      <c r="G170" s="54"/>
      <c r="H170" s="54"/>
      <c r="I170" s="54"/>
      <c r="J170" s="54"/>
      <c r="K170" s="54"/>
      <c r="L170" s="54"/>
      <c r="M170" s="54"/>
    </row>
    <row r="171" spans="1:23" ht="22" customHeight="1">
      <c r="A171" s="62"/>
      <c r="B171" s="54"/>
      <c r="C171" s="54"/>
      <c r="D171" s="54"/>
      <c r="E171" s="54"/>
      <c r="F171" s="73"/>
      <c r="G171" s="54"/>
      <c r="H171" s="54"/>
      <c r="I171" s="54"/>
      <c r="J171" s="54"/>
      <c r="K171" s="54"/>
      <c r="L171" s="54"/>
      <c r="M171" s="54"/>
    </row>
    <row r="172" spans="1:23" ht="22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</row>
    <row r="173" spans="1:23" ht="22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</row>
    <row r="174" spans="1:23" ht="22" customHeight="1">
      <c r="A174" s="98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</row>
    <row r="175" spans="1:23" ht="22" customHeight="1">
      <c r="A175" s="62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</row>
    <row r="176" spans="1:23" ht="22" customHeight="1">
      <c r="A176" s="66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</row>
    <row r="177" spans="1:13" ht="22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</row>
    <row r="178" spans="1:13" ht="22" customHeight="1">
      <c r="A178" s="66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</row>
    <row r="179" spans="1:13" ht="22" customHeight="1">
      <c r="A179" s="66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</row>
    <row r="180" spans="1:13" ht="22" customHeight="1">
      <c r="A180" s="66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</row>
    <row r="181" spans="1:13" ht="22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</row>
    <row r="182" spans="1:13" ht="22" customHeight="1">
      <c r="A182" s="66"/>
      <c r="B182" s="71"/>
      <c r="C182" s="71"/>
      <c r="D182" s="71"/>
      <c r="E182" s="71"/>
      <c r="F182" s="71"/>
      <c r="G182" s="71"/>
      <c r="H182" s="71"/>
      <c r="I182" s="71"/>
      <c r="J182" s="54"/>
      <c r="K182" s="54"/>
      <c r="L182" s="54"/>
      <c r="M182" s="54"/>
    </row>
    <row r="183" spans="1:13" ht="22" customHeight="1">
      <c r="A183" s="66"/>
      <c r="B183" s="54"/>
      <c r="C183" s="54"/>
      <c r="D183" s="54"/>
      <c r="E183" s="54"/>
      <c r="F183" s="54"/>
      <c r="G183" s="73"/>
      <c r="H183" s="73"/>
      <c r="I183" s="73"/>
      <c r="J183" s="54"/>
      <c r="K183" s="54"/>
      <c r="L183" s="54"/>
      <c r="M183" s="54"/>
    </row>
    <row r="184" spans="1:13" ht="22" customHeight="1">
      <c r="A184" s="66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</row>
    <row r="185" spans="1:13" ht="22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</row>
    <row r="186" spans="1:13" ht="22" customHeight="1">
      <c r="A186" s="4"/>
      <c r="B186" s="36"/>
    </row>
    <row r="187" spans="1:13" ht="22" customHeight="1">
      <c r="A187" s="4"/>
      <c r="B187" s="35"/>
    </row>
    <row r="188" spans="1:13" ht="22" customHeight="1">
      <c r="A188" s="4"/>
    </row>
    <row r="189" spans="1:13" ht="22" customHeight="1">
      <c r="A189" s="4"/>
      <c r="B189" s="14"/>
    </row>
    <row r="190" spans="1:13" ht="22" customHeight="1">
      <c r="A190" s="4"/>
      <c r="B190" s="1"/>
    </row>
    <row r="191" spans="1:13" ht="22" customHeight="1">
      <c r="A191" s="4"/>
      <c r="B191" s="14"/>
    </row>
    <row r="192" spans="1:13" ht="22" customHeight="1">
      <c r="A192" s="4"/>
      <c r="B192" s="1"/>
    </row>
    <row r="193" spans="1:9" ht="22" customHeight="1">
      <c r="A193" s="4"/>
      <c r="B193" s="14"/>
    </row>
    <row r="194" spans="1:9" ht="22" customHeight="1">
      <c r="A194" s="4"/>
      <c r="B194" s="14"/>
    </row>
    <row r="195" spans="1:9" ht="22" customHeight="1">
      <c r="A195" s="1"/>
    </row>
    <row r="196" spans="1:9" ht="22" customHeight="1">
      <c r="A196" s="1"/>
    </row>
    <row r="197" spans="1:9" ht="22" customHeight="1">
      <c r="A197" s="41"/>
    </row>
    <row r="198" spans="1:9" ht="22" customHeight="1">
      <c r="A198" s="30"/>
      <c r="B198" s="1"/>
      <c r="C198" s="1"/>
      <c r="D198" s="1"/>
      <c r="E198" s="1"/>
      <c r="F198" s="1"/>
      <c r="G198" s="1"/>
      <c r="H198" s="1"/>
      <c r="I198" s="1"/>
    </row>
    <row r="199" spans="1:9" ht="22" customHeight="1">
      <c r="A199" s="30"/>
      <c r="B199" s="26"/>
      <c r="C199" s="26"/>
      <c r="D199" s="26"/>
      <c r="E199" s="26"/>
      <c r="F199" s="26"/>
      <c r="G199" s="26"/>
      <c r="H199" s="26"/>
      <c r="I199" s="1"/>
    </row>
    <row r="200" spans="1:9" ht="22" customHeight="1">
      <c r="A200" s="30"/>
      <c r="B200" s="1"/>
      <c r="C200" s="1"/>
      <c r="D200" s="1"/>
      <c r="E200" s="1"/>
      <c r="F200" s="1"/>
      <c r="G200" s="1"/>
      <c r="H200" s="1"/>
      <c r="I200" s="1"/>
    </row>
    <row r="201" spans="1:9" ht="22" customHeight="1">
      <c r="A201" s="30"/>
      <c r="B201" s="1"/>
      <c r="C201" s="1"/>
      <c r="D201" s="1"/>
      <c r="E201" s="1"/>
      <c r="F201" s="1"/>
      <c r="G201" s="1"/>
      <c r="H201" s="1"/>
      <c r="I201" s="1"/>
    </row>
    <row r="202" spans="1:9" ht="22" customHeight="1">
      <c r="A202" s="30"/>
      <c r="B202" s="1"/>
      <c r="C202" s="1"/>
      <c r="D202" s="1"/>
      <c r="E202" s="1"/>
      <c r="F202" s="1"/>
      <c r="G202" s="1"/>
      <c r="H202" s="1"/>
      <c r="I202" s="1"/>
    </row>
    <row r="203" spans="1:9" ht="22" customHeight="1">
      <c r="A203" s="30"/>
      <c r="B203" s="1"/>
      <c r="C203" s="1"/>
      <c r="D203" s="1"/>
      <c r="E203" s="1"/>
      <c r="F203" s="1"/>
      <c r="G203" s="1"/>
      <c r="H203" s="1"/>
      <c r="I203" s="1"/>
    </row>
    <row r="204" spans="1:9" ht="22" customHeight="1">
      <c r="A204" s="30"/>
      <c r="B204" s="1"/>
      <c r="C204" s="1"/>
      <c r="D204" s="1"/>
      <c r="E204" s="1"/>
      <c r="F204" s="1"/>
      <c r="G204" s="1"/>
      <c r="H204" s="1"/>
      <c r="I204" s="1"/>
    </row>
    <row r="205" spans="1:9" ht="22" customHeight="1">
      <c r="A205" s="30"/>
      <c r="B205" s="36"/>
      <c r="C205" s="36"/>
      <c r="D205" s="36"/>
      <c r="E205" s="36"/>
      <c r="F205" s="36"/>
      <c r="G205" s="36"/>
      <c r="H205" s="36"/>
      <c r="I205" s="1"/>
    </row>
    <row r="206" spans="1:9" ht="22" customHeight="1">
      <c r="A206" s="30"/>
      <c r="B206" s="1"/>
      <c r="C206" s="36"/>
      <c r="D206" s="36"/>
      <c r="E206" s="36"/>
      <c r="F206" s="36"/>
      <c r="G206" s="36"/>
      <c r="H206" s="36"/>
      <c r="I206" s="1"/>
    </row>
    <row r="207" spans="1:9" ht="22" customHeight="1">
      <c r="A207" s="30"/>
      <c r="B207" s="36"/>
      <c r="C207" s="36"/>
      <c r="D207" s="36"/>
      <c r="E207" s="36"/>
      <c r="F207" s="36"/>
      <c r="G207" s="36"/>
      <c r="H207" s="36"/>
      <c r="I207" s="1"/>
    </row>
    <row r="208" spans="1:9" ht="22" customHeight="1">
      <c r="A208" s="30"/>
      <c r="B208" s="51"/>
      <c r="C208" s="51"/>
      <c r="D208" s="51"/>
      <c r="E208" s="51"/>
      <c r="F208" s="51"/>
      <c r="G208" s="51"/>
      <c r="H208" s="51"/>
      <c r="I208" s="1"/>
    </row>
    <row r="209" spans="1:9" ht="22" customHeight="1">
      <c r="A209" s="30"/>
      <c r="B209" s="51"/>
      <c r="C209" s="51"/>
      <c r="D209" s="51"/>
      <c r="E209" s="51"/>
      <c r="F209" s="51"/>
      <c r="G209" s="51"/>
      <c r="H209" s="51"/>
      <c r="I209" s="1"/>
    </row>
    <row r="210" spans="1:9" ht="22" customHeight="1">
      <c r="A210" s="30"/>
      <c r="B210" s="35"/>
      <c r="C210" s="35"/>
      <c r="D210" s="35"/>
      <c r="E210" s="35"/>
      <c r="F210" s="35"/>
      <c r="G210" s="1"/>
      <c r="H210" s="1"/>
      <c r="I210" s="1"/>
    </row>
    <row r="211" spans="1:9" ht="22" customHeight="1">
      <c r="A211" s="30"/>
      <c r="B211" s="38"/>
      <c r="C211" s="38"/>
      <c r="D211" s="38"/>
      <c r="E211" s="38"/>
      <c r="F211" s="38"/>
      <c r="G211" s="38"/>
      <c r="H211" s="38"/>
      <c r="I211" s="1"/>
    </row>
    <row r="212" spans="1:9" ht="22" customHeight="1">
      <c r="A212" s="1"/>
      <c r="B212" s="1"/>
      <c r="C212" s="1"/>
      <c r="D212" s="1"/>
      <c r="E212" s="1"/>
      <c r="F212" s="1"/>
      <c r="G212" s="1"/>
      <c r="H212" s="1"/>
      <c r="I212" s="1"/>
    </row>
    <row r="213" spans="1:9" ht="22" customHeight="1">
      <c r="A213" s="24"/>
      <c r="B213" s="1"/>
      <c r="C213" s="1"/>
      <c r="D213" s="1"/>
      <c r="E213" s="1"/>
      <c r="F213" s="1"/>
      <c r="G213" s="1"/>
      <c r="H213" s="1"/>
      <c r="I213" s="1"/>
    </row>
    <row r="214" spans="1:9" ht="22" customHeight="1">
      <c r="A214" s="1"/>
      <c r="B214" s="1"/>
      <c r="C214" s="1"/>
      <c r="D214" s="1"/>
      <c r="E214" s="1"/>
      <c r="F214" s="1"/>
      <c r="G214" s="1"/>
      <c r="H214" s="1"/>
      <c r="I214" s="1"/>
    </row>
    <row r="215" spans="1:9" ht="22" customHeight="1">
      <c r="A215" s="1"/>
      <c r="B215" s="27"/>
      <c r="C215" s="1"/>
      <c r="D215" s="1"/>
      <c r="E215" s="1"/>
      <c r="F215" s="1"/>
      <c r="G215" s="1"/>
      <c r="H215" s="1"/>
      <c r="I215" s="1"/>
    </row>
    <row r="216" spans="1:9" ht="22" customHeight="1">
      <c r="A216" s="1"/>
      <c r="B216" s="1"/>
      <c r="D216" s="1"/>
      <c r="E216" s="1"/>
      <c r="F216" s="1"/>
      <c r="G216" s="1"/>
      <c r="H216" s="1"/>
      <c r="I216" s="1"/>
    </row>
    <row r="217" spans="1:9" ht="22" customHeight="1">
      <c r="A217" s="1"/>
      <c r="B217" s="1"/>
      <c r="C217" s="1"/>
      <c r="D217" s="1"/>
      <c r="E217" s="1"/>
      <c r="F217" s="1"/>
      <c r="G217" s="1"/>
      <c r="H217" s="1"/>
      <c r="I217" s="1"/>
    </row>
    <row r="218" spans="1:9" ht="22" customHeight="1">
      <c r="A218" s="1"/>
      <c r="B218" s="1"/>
      <c r="C218" s="1"/>
      <c r="D218" s="1"/>
      <c r="E218" s="1"/>
      <c r="F218" s="1"/>
      <c r="G218" s="1"/>
      <c r="H218" s="1"/>
      <c r="I218" s="1"/>
    </row>
    <row r="219" spans="1:9" ht="22" customHeight="1">
      <c r="A219" s="1"/>
      <c r="B219" s="14"/>
      <c r="C219" s="1"/>
      <c r="D219" s="1"/>
      <c r="E219" s="1"/>
      <c r="F219" s="1"/>
      <c r="G219" s="1"/>
      <c r="H219" s="1"/>
      <c r="I219" s="1"/>
    </row>
    <row r="220" spans="1:9" ht="22" customHeight="1">
      <c r="A220" s="1"/>
      <c r="B220" s="1"/>
      <c r="C220" s="1"/>
      <c r="D220" s="1"/>
      <c r="E220" s="1"/>
      <c r="F220" s="1"/>
      <c r="G220" s="1"/>
      <c r="H220" s="1"/>
      <c r="I220" s="1"/>
    </row>
    <row r="221" spans="1:9" ht="22" customHeight="1">
      <c r="A221" s="1"/>
      <c r="B221" s="1"/>
      <c r="C221" s="1"/>
      <c r="D221" s="1"/>
      <c r="E221" s="1"/>
      <c r="F221" s="1"/>
      <c r="G221" s="1"/>
      <c r="H221" s="1"/>
      <c r="I221" s="1"/>
    </row>
    <row r="222" spans="1:9" ht="22" customHeight="1">
      <c r="A222" s="1"/>
      <c r="B222" s="14"/>
      <c r="C222" s="1"/>
      <c r="D222" s="1"/>
      <c r="E222" s="1"/>
      <c r="F222" s="1"/>
      <c r="G222" s="1"/>
      <c r="H222" s="1"/>
      <c r="I222" s="1"/>
    </row>
    <row r="223" spans="1:9" ht="22" customHeight="1">
      <c r="A223" s="1"/>
      <c r="B223" s="14"/>
      <c r="C223" s="1"/>
      <c r="D223" s="1"/>
      <c r="E223" s="1"/>
      <c r="F223" s="1"/>
      <c r="G223" s="1"/>
      <c r="H223" s="1"/>
      <c r="I223" s="1"/>
    </row>
    <row r="224" spans="1:9" ht="22" customHeight="1">
      <c r="A224" s="1"/>
      <c r="B224" s="1"/>
      <c r="C224" s="1"/>
      <c r="D224" s="1"/>
      <c r="E224" s="1"/>
      <c r="F224" s="1"/>
      <c r="G224" s="1"/>
      <c r="H224" s="1"/>
      <c r="I224" s="1"/>
    </row>
  </sheetData>
  <pageMargins left="0.75" right="0.75" top="1" bottom="1" header="0.5" footer="0.5"/>
  <pageSetup scale="40" orientation="landscape" horizontalDpi="4294967292" verticalDpi="4294967292"/>
  <headerFooter alignWithMargins="0"/>
  <ignoredErrors>
    <ignoredError sqref="H20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340D6-5043-724A-BACF-C1FB5A3EB0FF}">
  <dimension ref="A1:Z223"/>
  <sheetViews>
    <sheetView showGridLines="0" tabSelected="1" zoomScale="75" zoomScaleNormal="50" workbookViewId="0">
      <pane xSplit="1" ySplit="4" topLeftCell="C5" activePane="bottomRight" state="frozen"/>
      <selection pane="topRight" activeCell="B1" sqref="B1"/>
      <selection pane="bottomLeft" activeCell="A8" sqref="A8"/>
      <selection pane="bottomRight" activeCell="I23" sqref="I23"/>
    </sheetView>
  </sheetViews>
  <sheetFormatPr baseColWidth="10" defaultColWidth="9.33203125" defaultRowHeight="22" customHeight="1"/>
  <cols>
    <col min="1" max="1" width="64.6640625" style="7" customWidth="1"/>
    <col min="2" max="2" width="12.83203125" style="7" hidden="1" customWidth="1"/>
    <col min="3" max="3" width="22" style="7" customWidth="1"/>
    <col min="4" max="4" width="31.5" style="7" customWidth="1"/>
    <col min="5" max="5" width="17.1640625" style="7" customWidth="1"/>
    <col min="6" max="6" width="26.5" style="7" customWidth="1"/>
    <col min="7" max="7" width="28.1640625" style="7" customWidth="1"/>
    <col min="8" max="8" width="18.33203125" style="7" customWidth="1"/>
    <col min="9" max="9" width="25.33203125" style="7" customWidth="1"/>
    <col min="10" max="10" width="35.83203125" style="7" customWidth="1"/>
    <col min="11" max="11" width="18.6640625" style="7" customWidth="1"/>
    <col min="12" max="12" width="36.6640625" style="7" customWidth="1"/>
    <col min="13" max="20" width="12.83203125" style="7" customWidth="1"/>
    <col min="21" max="21" width="13.33203125" style="7" bestFit="1" customWidth="1"/>
    <col min="22" max="25" width="12.83203125" style="7" customWidth="1"/>
    <col min="26" max="26" width="14.1640625" style="7" bestFit="1" customWidth="1"/>
    <col min="27" max="16384" width="9.33203125" style="7"/>
  </cols>
  <sheetData>
    <row r="1" spans="1:23" s="1" customFormat="1" ht="22" customHeight="1">
      <c r="A1" s="53" t="s">
        <v>0</v>
      </c>
      <c r="B1" s="54"/>
      <c r="C1" s="54"/>
      <c r="D1" s="54"/>
      <c r="E1" s="54"/>
      <c r="F1" s="54"/>
      <c r="G1" s="54"/>
      <c r="H1" s="54"/>
    </row>
    <row r="2" spans="1:23" s="1" customFormat="1" ht="22" customHeight="1">
      <c r="A2" s="54" t="s">
        <v>1</v>
      </c>
      <c r="B2" s="54"/>
      <c r="C2" s="54"/>
      <c r="D2" s="54"/>
      <c r="E2" s="54"/>
      <c r="F2" s="54"/>
      <c r="G2" s="56"/>
      <c r="H2" s="56"/>
      <c r="J2" s="11"/>
      <c r="K2" s="11"/>
      <c r="O2" s="11"/>
      <c r="P2" s="11"/>
      <c r="T2" s="11"/>
      <c r="U2" s="20"/>
    </row>
    <row r="3" spans="1:23" s="1" customFormat="1" ht="22" customHeight="1">
      <c r="A3" s="54" t="s">
        <v>65</v>
      </c>
      <c r="B3" s="54"/>
      <c r="C3" s="54"/>
      <c r="D3" s="54"/>
      <c r="E3" s="54"/>
      <c r="F3" s="54"/>
      <c r="G3" s="56"/>
      <c r="H3" s="56"/>
      <c r="J3" s="11"/>
      <c r="K3" s="11"/>
      <c r="O3" s="11"/>
      <c r="P3" s="11"/>
      <c r="T3" s="11"/>
      <c r="U3" s="11"/>
    </row>
    <row r="4" spans="1:23" s="1" customFormat="1" ht="22" customHeight="1">
      <c r="A4" s="94"/>
      <c r="B4" s="95"/>
      <c r="C4" s="95"/>
      <c r="D4" s="95"/>
      <c r="E4" s="95"/>
      <c r="K4" s="9"/>
      <c r="L4" s="9"/>
      <c r="M4" s="9"/>
      <c r="O4" s="9"/>
      <c r="P4" s="9"/>
      <c r="Q4" s="9"/>
      <c r="R4" s="9"/>
      <c r="T4" s="9"/>
      <c r="U4" s="9"/>
      <c r="V4" s="9"/>
      <c r="W4" s="9"/>
    </row>
    <row r="5" spans="1:23" s="1" customFormat="1" ht="22" customHeight="1" thickBot="1">
      <c r="A5" s="210" t="s">
        <v>36</v>
      </c>
      <c r="B5" s="210" t="s">
        <v>37</v>
      </c>
      <c r="C5" s="210" t="s">
        <v>38</v>
      </c>
      <c r="D5" s="210" t="s">
        <v>39</v>
      </c>
      <c r="E5" s="96"/>
    </row>
    <row r="6" spans="1:23" s="1" customFormat="1" ht="22" customHeight="1">
      <c r="A6" s="62" t="s">
        <v>40</v>
      </c>
      <c r="B6" s="101">
        <v>4</v>
      </c>
      <c r="C6" s="62">
        <v>2026</v>
      </c>
      <c r="D6" s="62">
        <v>750</v>
      </c>
      <c r="E6" s="102"/>
      <c r="F6" s="229" t="s">
        <v>183</v>
      </c>
      <c r="G6" s="117"/>
      <c r="H6" s="118" t="s">
        <v>184</v>
      </c>
      <c r="I6" s="118"/>
      <c r="J6" s="119" t="s">
        <v>185</v>
      </c>
      <c r="K6" s="96"/>
      <c r="L6" s="96"/>
      <c r="M6" s="9"/>
    </row>
    <row r="7" spans="1:23" s="2" customFormat="1" ht="22" customHeight="1">
      <c r="A7" s="62" t="s">
        <v>40</v>
      </c>
      <c r="B7" s="101">
        <v>3.7</v>
      </c>
      <c r="C7" s="62">
        <v>2026</v>
      </c>
      <c r="D7" s="62">
        <v>400</v>
      </c>
      <c r="E7" s="102"/>
      <c r="F7" s="120" t="s">
        <v>50</v>
      </c>
      <c r="G7" s="129">
        <v>6.5000000000000002E-2</v>
      </c>
      <c r="H7" s="136" t="s">
        <v>58</v>
      </c>
      <c r="I7" s="53">
        <v>46115</v>
      </c>
      <c r="J7" s="121" t="s">
        <v>61</v>
      </c>
      <c r="P7" s="14"/>
      <c r="Q7" s="14"/>
      <c r="R7" s="14"/>
      <c r="S7" s="14"/>
      <c r="T7" s="14"/>
      <c r="U7" s="14"/>
      <c r="V7" s="14"/>
      <c r="W7" s="14"/>
    </row>
    <row r="8" spans="1:23" s="1" customFormat="1" ht="22" customHeight="1">
      <c r="A8" s="62" t="s">
        <v>40</v>
      </c>
      <c r="B8" s="101">
        <v>2.9</v>
      </c>
      <c r="C8" s="62">
        <v>2027</v>
      </c>
      <c r="D8" s="62">
        <v>675</v>
      </c>
      <c r="E8" s="102"/>
      <c r="F8" s="122" t="s">
        <v>55</v>
      </c>
      <c r="G8" s="230">
        <v>101.37</v>
      </c>
      <c r="H8" s="231" t="s">
        <v>57</v>
      </c>
      <c r="I8" s="53">
        <v>48349</v>
      </c>
      <c r="J8" s="135">
        <f>(I9-G9)*10000</f>
        <v>187.09999999999997</v>
      </c>
      <c r="P8" s="14"/>
      <c r="Q8" s="14"/>
      <c r="R8" s="14"/>
      <c r="S8" s="14"/>
      <c r="T8" s="14"/>
      <c r="U8" s="14"/>
      <c r="V8" s="14"/>
      <c r="W8" s="14"/>
    </row>
    <row r="9" spans="1:23" s="1" customFormat="1" ht="22" customHeight="1">
      <c r="A9" s="62" t="s">
        <v>40</v>
      </c>
      <c r="B9" s="101">
        <v>3.375</v>
      </c>
      <c r="C9" s="62">
        <v>2027</v>
      </c>
      <c r="D9" s="62">
        <v>750</v>
      </c>
      <c r="E9" s="102"/>
      <c r="F9" s="122" t="s">
        <v>60</v>
      </c>
      <c r="G9" s="134">
        <v>4.3450000000000003E-2</v>
      </c>
      <c r="H9" s="231" t="s">
        <v>56</v>
      </c>
      <c r="I9" s="129">
        <v>6.216E-2</v>
      </c>
      <c r="J9" s="137">
        <f>DURATION(I7,I8,G7,G9,2,0)</f>
        <v>5.0917934587241165</v>
      </c>
      <c r="P9" s="14"/>
      <c r="Q9" s="14"/>
      <c r="R9" s="14"/>
      <c r="S9" s="14"/>
      <c r="T9" s="14"/>
      <c r="U9" s="14"/>
      <c r="V9" s="14"/>
      <c r="W9" s="14"/>
    </row>
    <row r="10" spans="1:23" s="1" customFormat="1" ht="22" customHeight="1">
      <c r="A10" s="62" t="s">
        <v>40</v>
      </c>
      <c r="B10" s="101">
        <v>3.7</v>
      </c>
      <c r="C10" s="62">
        <v>2028</v>
      </c>
      <c r="D10" s="62">
        <v>750</v>
      </c>
      <c r="E10" s="102"/>
      <c r="F10" s="126" t="s">
        <v>52</v>
      </c>
      <c r="G10" s="127" t="s">
        <v>51</v>
      </c>
      <c r="H10" s="127" t="s">
        <v>53</v>
      </c>
      <c r="I10" s="127" t="s">
        <v>50</v>
      </c>
      <c r="J10" s="128" t="s">
        <v>54</v>
      </c>
      <c r="P10" s="14"/>
      <c r="Q10" s="14"/>
      <c r="R10" s="14"/>
      <c r="S10" s="14"/>
      <c r="T10" s="14"/>
      <c r="U10" s="14"/>
      <c r="V10" s="14"/>
      <c r="W10" s="14"/>
    </row>
    <row r="11" spans="1:23" s="1" customFormat="1" ht="22" customHeight="1">
      <c r="A11" s="62" t="s">
        <v>40</v>
      </c>
      <c r="B11" s="101">
        <v>4.2</v>
      </c>
      <c r="C11" s="62">
        <v>2029</v>
      </c>
      <c r="D11" s="62">
        <v>850</v>
      </c>
      <c r="E11" s="102"/>
      <c r="F11" s="123" t="s">
        <v>47</v>
      </c>
      <c r="G11" s="232">
        <v>160</v>
      </c>
      <c r="H11" s="130">
        <f>PRICE($I$7,$I$8,$G$7,($G$9+G11/10000),100,2,0)</f>
        <v>102.80298206081778</v>
      </c>
      <c r="I11" s="230">
        <v>6.5</v>
      </c>
      <c r="J11" s="132">
        <f>(H11-$G$8+I11)/$G$8</f>
        <v>7.8257690251729087E-2</v>
      </c>
      <c r="P11" s="14"/>
      <c r="Q11" s="14"/>
      <c r="R11" s="14"/>
      <c r="S11" s="14"/>
      <c r="T11" s="14"/>
      <c r="U11" s="14"/>
      <c r="V11" s="14"/>
      <c r="W11" s="14"/>
    </row>
    <row r="12" spans="1:23" s="1" customFormat="1" ht="22" customHeight="1">
      <c r="A12" s="62" t="s">
        <v>40</v>
      </c>
      <c r="B12" s="101">
        <v>7.875</v>
      </c>
      <c r="C12" s="62">
        <v>2031</v>
      </c>
      <c r="D12" s="62">
        <v>500</v>
      </c>
      <c r="E12" s="102"/>
      <c r="F12" s="123" t="s">
        <v>48</v>
      </c>
      <c r="G12" s="232">
        <f>J8</f>
        <v>187.09999999999997</v>
      </c>
      <c r="H12" s="130">
        <f>PRICE($I$7,$I$8,$G$7,($G$9+G12/10000),100,2,0)</f>
        <v>101.4179965813228</v>
      </c>
      <c r="I12" s="230">
        <v>6.5</v>
      </c>
      <c r="J12" s="132">
        <f>(H12-$G$8+I12)/$G$8</f>
        <v>6.4595014119786839E-2</v>
      </c>
      <c r="P12" s="14"/>
      <c r="Q12" s="14"/>
      <c r="R12" s="14"/>
      <c r="S12" s="14"/>
      <c r="T12" s="14"/>
      <c r="U12" s="14"/>
      <c r="V12" s="14"/>
      <c r="W12" s="14"/>
    </row>
    <row r="13" spans="1:23" s="1" customFormat="1" ht="22" customHeight="1">
      <c r="A13" s="62" t="s">
        <v>40</v>
      </c>
      <c r="B13" s="101">
        <v>4.95</v>
      </c>
      <c r="C13" s="62">
        <v>2032</v>
      </c>
      <c r="D13" s="62">
        <v>750</v>
      </c>
      <c r="E13" s="102"/>
      <c r="F13" s="122" t="s">
        <v>49</v>
      </c>
      <c r="G13" s="232">
        <v>350</v>
      </c>
      <c r="H13" s="130">
        <f>PRICE($I$7,$I$8,$G$7,($G$9+G13/10000),100,2,0)</f>
        <v>93.552272938028011</v>
      </c>
      <c r="I13" s="230">
        <v>6.5</v>
      </c>
      <c r="J13" s="132">
        <f>(H13-$G$8+I13)/$G$8</f>
        <v>-1.2999181828667192E-2</v>
      </c>
      <c r="P13" s="14"/>
      <c r="Q13" s="14"/>
      <c r="R13" s="14"/>
      <c r="S13" s="14"/>
      <c r="T13" s="14"/>
      <c r="U13" s="14"/>
      <c r="V13" s="14"/>
      <c r="W13" s="14"/>
    </row>
    <row r="14" spans="1:23" s="1" customFormat="1" ht="22" customHeight="1" thickBot="1">
      <c r="A14" s="62" t="s">
        <v>41</v>
      </c>
      <c r="B14" s="101">
        <v>4.2</v>
      </c>
      <c r="C14" s="62">
        <v>2036</v>
      </c>
      <c r="D14" s="62">
        <v>0.55200000000000005</v>
      </c>
      <c r="E14" s="102"/>
      <c r="F14" s="124" t="s">
        <v>59</v>
      </c>
      <c r="G14" s="125">
        <v>600</v>
      </c>
      <c r="H14" s="131">
        <f>PRICE($I$7,$I$8,$G$7,($G$9+G14/10000),100,2,0)</f>
        <v>82.872851732587122</v>
      </c>
      <c r="I14" s="269">
        <v>6.5</v>
      </c>
      <c r="J14" s="133">
        <f>(H14-$G$8+I14)/$G$8</f>
        <v>-0.11835008648922642</v>
      </c>
      <c r="P14" s="14"/>
      <c r="Q14" s="14"/>
      <c r="R14" s="14"/>
      <c r="S14" s="14"/>
      <c r="T14" s="14"/>
      <c r="U14" s="14"/>
      <c r="V14" s="14"/>
      <c r="W14" s="14"/>
    </row>
    <row r="15" spans="1:23" s="1" customFormat="1" ht="22" customHeight="1" thickBot="1">
      <c r="A15" s="103"/>
      <c r="B15" s="101">
        <v>5.5</v>
      </c>
      <c r="C15" s="102"/>
      <c r="D15" s="104"/>
      <c r="E15" s="102"/>
      <c r="P15" s="14"/>
      <c r="Q15" s="14"/>
      <c r="R15" s="14"/>
      <c r="S15" s="14"/>
      <c r="T15" s="14"/>
      <c r="U15" s="14"/>
      <c r="V15" s="14"/>
      <c r="W15" s="14"/>
    </row>
    <row r="16" spans="1:23" s="1" customFormat="1" ht="22" customHeight="1" thickBot="1">
      <c r="A16" s="147" t="s">
        <v>189</v>
      </c>
      <c r="B16" s="148"/>
      <c r="C16" s="148"/>
      <c r="D16" s="252">
        <f>SUM(D6:D13)</f>
        <v>5425</v>
      </c>
      <c r="E16" s="102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  <row r="17" spans="1:25" s="2" customFormat="1" ht="22" customHeight="1">
      <c r="A17" s="138" t="s">
        <v>29</v>
      </c>
      <c r="B17" s="138"/>
      <c r="C17" s="138"/>
      <c r="D17" s="139">
        <f>SUM(D6:D14)-30.2</f>
        <v>5395.3519999999999</v>
      </c>
      <c r="E17" s="102"/>
      <c r="F17" s="250" t="s">
        <v>200</v>
      </c>
      <c r="G17" s="201" t="s">
        <v>191</v>
      </c>
      <c r="H17" s="248" t="s">
        <v>38</v>
      </c>
      <c r="K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 spans="1:25" s="4" customFormat="1" ht="22" customHeight="1">
      <c r="E18" s="102"/>
      <c r="F18" s="1" t="s">
        <v>197</v>
      </c>
      <c r="G18" s="14">
        <v>1500</v>
      </c>
      <c r="H18" s="247" t="s">
        <v>90</v>
      </c>
      <c r="K18" s="14"/>
    </row>
    <row r="19" spans="1:25" s="4" customFormat="1" ht="22" customHeight="1">
      <c r="A19" s="103"/>
      <c r="B19" s="101">
        <v>5.9</v>
      </c>
      <c r="C19" s="102"/>
      <c r="D19" s="104"/>
      <c r="E19" s="102"/>
      <c r="F19" s="4" t="s">
        <v>202</v>
      </c>
      <c r="G19" s="4">
        <v>565</v>
      </c>
      <c r="H19" s="265" t="s">
        <v>90</v>
      </c>
      <c r="K19" s="14"/>
    </row>
    <row r="20" spans="1:25" s="2" customFormat="1" ht="22" customHeight="1">
      <c r="A20" s="103"/>
      <c r="B20" s="101">
        <v>4.5</v>
      </c>
      <c r="F20" s="1" t="s">
        <v>198</v>
      </c>
      <c r="G20" s="14">
        <f>'Base MGM IS'!G36</f>
        <v>1357.7699399999995</v>
      </c>
      <c r="H20" s="247" t="s">
        <v>90</v>
      </c>
      <c r="K20" s="14"/>
    </row>
    <row r="21" spans="1:25" s="2" customFormat="1" ht="22" customHeight="1">
      <c r="A21" s="103"/>
      <c r="B21" s="101">
        <v>4.8499999999999996</v>
      </c>
      <c r="F21" s="2" t="s">
        <v>203</v>
      </c>
      <c r="G21" s="14">
        <v>2512</v>
      </c>
      <c r="H21" s="266" t="s">
        <v>90</v>
      </c>
      <c r="K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 spans="1:25" s="2" customFormat="1" ht="22" customHeight="1">
      <c r="A22" s="103"/>
      <c r="B22" s="101">
        <v>4.375</v>
      </c>
      <c r="F22" s="1" t="s">
        <v>193</v>
      </c>
      <c r="G22" s="14">
        <v>2300</v>
      </c>
      <c r="H22" s="246">
        <v>2028</v>
      </c>
      <c r="K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spans="1:25" s="2" customFormat="1" ht="22" customHeight="1">
      <c r="A23" s="103"/>
      <c r="B23" s="101">
        <v>4.875</v>
      </c>
      <c r="F23" s="2" t="s">
        <v>204</v>
      </c>
      <c r="G23" s="14">
        <v>87</v>
      </c>
      <c r="H23" s="266" t="s">
        <v>90</v>
      </c>
      <c r="K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spans="1:25" s="5" customFormat="1" ht="22" customHeight="1">
      <c r="A24" s="103"/>
      <c r="B24" s="101">
        <v>5.85</v>
      </c>
      <c r="F24" s="1" t="s">
        <v>199</v>
      </c>
      <c r="G24" s="14">
        <f>G18+G19+G20+G22+G23+G21</f>
        <v>8321.7699399999983</v>
      </c>
      <c r="H24" s="247" t="s">
        <v>90</v>
      </c>
      <c r="K24" s="14"/>
    </row>
    <row r="25" spans="1:25" s="13" customFormat="1" ht="22" customHeight="1">
      <c r="A25" s="103"/>
      <c r="B25" s="101">
        <v>5.25</v>
      </c>
      <c r="F25" s="201" t="s">
        <v>190</v>
      </c>
      <c r="G25" s="251"/>
      <c r="H25" s="249"/>
      <c r="K25" s="14"/>
    </row>
    <row r="26" spans="1:25" s="1" customFormat="1" ht="22" customHeight="1">
      <c r="A26" s="103"/>
      <c r="B26" s="101">
        <v>4.9000000000000004</v>
      </c>
      <c r="F26" s="1" t="s">
        <v>192</v>
      </c>
      <c r="G26" s="14">
        <f>SUM(D6:D14)</f>
        <v>5425.5519999999997</v>
      </c>
      <c r="H26" s="247" t="s">
        <v>194</v>
      </c>
    </row>
    <row r="27" spans="1:25" s="4" customFormat="1" ht="22" customHeight="1">
      <c r="A27" s="103"/>
      <c r="B27" s="101">
        <v>4.5999999999999996</v>
      </c>
      <c r="F27" s="1" t="s">
        <v>195</v>
      </c>
      <c r="G27" s="14">
        <v>9440</v>
      </c>
      <c r="H27" s="247" t="s">
        <v>90</v>
      </c>
      <c r="M27" s="1"/>
      <c r="N27" s="1"/>
      <c r="O27" s="5"/>
      <c r="P27" s="5"/>
      <c r="Q27" s="5"/>
      <c r="R27" s="5"/>
      <c r="S27" s="2"/>
    </row>
    <row r="28" spans="1:25" s="5" customFormat="1" ht="22" customHeight="1">
      <c r="A28" s="103"/>
      <c r="B28" s="101">
        <v>4.95</v>
      </c>
      <c r="F28" s="1" t="s">
        <v>196</v>
      </c>
      <c r="G28" s="14">
        <f>G27</f>
        <v>9440</v>
      </c>
      <c r="H28" s="247" t="s">
        <v>90</v>
      </c>
      <c r="I28" s="71"/>
      <c r="J28" s="14"/>
      <c r="K28" s="14"/>
      <c r="L28" s="14"/>
      <c r="M28" s="14"/>
      <c r="N28" s="14"/>
      <c r="O28" s="14"/>
      <c r="P28" s="14"/>
      <c r="Q28" s="14"/>
      <c r="R28" s="14"/>
      <c r="S28" s="2"/>
      <c r="Y28" s="36"/>
    </row>
    <row r="29" spans="1:25" s="5" customFormat="1" ht="22" customHeight="1">
      <c r="A29" s="103"/>
      <c r="B29" s="101">
        <v>6.25</v>
      </c>
      <c r="C29" s="102"/>
      <c r="D29" s="104"/>
      <c r="E29" s="102"/>
      <c r="I29" s="79"/>
      <c r="J29" s="22"/>
      <c r="K29" s="22"/>
      <c r="L29" s="22"/>
      <c r="M29" s="22"/>
      <c r="N29" s="22"/>
      <c r="O29" s="22"/>
      <c r="P29" s="22"/>
      <c r="Q29" s="22"/>
      <c r="R29" s="22"/>
      <c r="S29" s="2"/>
      <c r="Y29" s="38"/>
    </row>
    <row r="30" spans="1:25" s="4" customFormat="1" ht="22" customHeight="1">
      <c r="A30" s="103"/>
      <c r="B30" s="101">
        <v>6.375</v>
      </c>
      <c r="C30" s="102"/>
      <c r="D30" s="104"/>
      <c r="E30" s="10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5"/>
      <c r="W30" s="5"/>
    </row>
    <row r="31" spans="1:25" s="1" customFormat="1" ht="22" customHeight="1">
      <c r="A31" s="62"/>
      <c r="B31" s="66"/>
      <c r="C31" s="66"/>
      <c r="D31" s="66"/>
      <c r="E31" s="66"/>
      <c r="F31" s="66"/>
      <c r="G31" s="66"/>
      <c r="H31" s="66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13"/>
      <c r="W31" s="5"/>
    </row>
    <row r="32" spans="1:25" s="1" customFormat="1" ht="22" customHeight="1">
      <c r="E32" s="54"/>
      <c r="F32" s="54"/>
      <c r="G32" s="54"/>
      <c r="H32" s="54"/>
      <c r="I32" s="5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5" s="1" customFormat="1" ht="22" customHeight="1">
      <c r="A33" s="54"/>
      <c r="B33" s="54"/>
      <c r="C33" s="54"/>
      <c r="D33" s="54"/>
      <c r="E33" s="54"/>
      <c r="F33" s="54"/>
      <c r="G33" s="54"/>
      <c r="H33" s="54"/>
      <c r="I33" s="54"/>
      <c r="J33" s="22"/>
      <c r="K33" s="22"/>
      <c r="L33" s="22"/>
      <c r="M33" s="22"/>
      <c r="N33" s="22"/>
      <c r="O33" s="22"/>
      <c r="P33" s="22"/>
      <c r="Q33" s="22"/>
      <c r="R33" s="22"/>
    </row>
    <row r="34" spans="1:25" s="4" customFormat="1" ht="22" customHeight="1">
      <c r="E34" s="54"/>
      <c r="F34" s="1"/>
      <c r="G34" s="1"/>
      <c r="H34" s="1"/>
      <c r="I34" s="22"/>
      <c r="J34" s="27"/>
      <c r="K34" s="27"/>
      <c r="L34" s="27"/>
      <c r="M34" s="27"/>
      <c r="N34" s="27"/>
      <c r="O34" s="27"/>
      <c r="P34" s="27"/>
      <c r="Q34" s="27"/>
      <c r="R34" s="27"/>
      <c r="S34" s="15"/>
      <c r="T34" s="27"/>
      <c r="U34" s="27"/>
      <c r="V34" s="27"/>
    </row>
    <row r="35" spans="1:25" s="1" customFormat="1" ht="22" customHeight="1">
      <c r="A35" s="62"/>
      <c r="B35" s="65"/>
      <c r="C35" s="54"/>
      <c r="D35" s="54"/>
      <c r="E35" s="54"/>
      <c r="F35" s="54"/>
      <c r="G35" s="54"/>
      <c r="H35" s="54"/>
      <c r="I35" s="27"/>
      <c r="J35" s="28"/>
      <c r="K35" s="28"/>
      <c r="L35" s="28"/>
      <c r="M35" s="28"/>
      <c r="N35" s="24"/>
      <c r="O35" s="21"/>
      <c r="P35" s="21"/>
      <c r="Q35" s="21"/>
      <c r="R35" s="21"/>
      <c r="S35" s="21"/>
      <c r="T35" s="21"/>
      <c r="U35" s="21"/>
      <c r="V35" s="21"/>
      <c r="W35" s="55"/>
    </row>
    <row r="36" spans="1:25" s="5" customFormat="1" ht="22" customHeight="1">
      <c r="A36" s="1"/>
      <c r="B36" s="66"/>
      <c r="C36" s="66"/>
      <c r="D36" s="66"/>
      <c r="E36" s="66"/>
      <c r="F36" s="66"/>
      <c r="G36" s="66"/>
      <c r="H36" s="66"/>
      <c r="I36" s="24"/>
      <c r="J36" s="22"/>
      <c r="K36" s="22"/>
      <c r="L36" s="22"/>
      <c r="M36" s="22"/>
      <c r="N36" s="22"/>
      <c r="O36" s="22"/>
      <c r="P36" s="22"/>
      <c r="Q36" s="22"/>
      <c r="R36" s="22"/>
    </row>
    <row r="37" spans="1:25" s="5" customFormat="1" ht="22" customHeight="1">
      <c r="A37" s="97"/>
      <c r="B37" s="78"/>
      <c r="C37" s="78"/>
      <c r="D37" s="78"/>
      <c r="E37" s="78"/>
      <c r="F37" s="66"/>
      <c r="G37" s="66"/>
      <c r="H37" s="66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4"/>
    </row>
    <row r="38" spans="1:25" s="4" customFormat="1" ht="22" customHeight="1">
      <c r="A38" s="98"/>
      <c r="B38" s="80"/>
      <c r="C38" s="80"/>
      <c r="D38" s="80"/>
      <c r="E38" s="80"/>
      <c r="F38" s="80"/>
      <c r="G38" s="80"/>
      <c r="H38" s="80"/>
      <c r="I38" s="80"/>
      <c r="J38" s="22"/>
      <c r="K38" s="22"/>
      <c r="L38" s="22"/>
      <c r="M38" s="22"/>
      <c r="N38" s="22"/>
      <c r="O38" s="22"/>
      <c r="P38" s="22"/>
      <c r="Q38" s="22"/>
      <c r="R38" s="22"/>
      <c r="S38" s="1"/>
    </row>
    <row r="39" spans="1:25" s="4" customFormat="1" ht="22" customHeight="1">
      <c r="A39" s="98"/>
      <c r="B39" s="99"/>
      <c r="C39" s="99"/>
      <c r="D39" s="99"/>
      <c r="E39" s="99"/>
      <c r="F39" s="99"/>
      <c r="G39" s="99"/>
      <c r="H39" s="99"/>
      <c r="I39" s="99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Y39" s="5"/>
    </row>
    <row r="40" spans="1:25" s="5" customFormat="1" ht="22" customHeight="1">
      <c r="A40" s="61"/>
      <c r="B40" s="82"/>
      <c r="C40" s="82"/>
      <c r="D40" s="82"/>
      <c r="E40" s="82"/>
      <c r="F40" s="82"/>
      <c r="G40" s="82"/>
      <c r="H40" s="82"/>
      <c r="I40" s="82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</row>
    <row r="41" spans="1:25" s="5" customFormat="1" ht="22" customHeight="1">
      <c r="A41" s="70"/>
      <c r="B41" s="21"/>
      <c r="C41" s="100"/>
      <c r="D41" s="99"/>
      <c r="E41" s="99"/>
      <c r="F41" s="99"/>
      <c r="G41" s="99"/>
      <c r="H41" s="99"/>
      <c r="I41" s="99"/>
      <c r="J41" s="29"/>
      <c r="K41" s="18"/>
      <c r="L41" s="18"/>
      <c r="M41" s="18"/>
      <c r="N41" s="18"/>
      <c r="O41" s="29"/>
      <c r="P41" s="29"/>
      <c r="Q41" s="29"/>
      <c r="R41" s="29"/>
      <c r="S41" s="4"/>
    </row>
    <row r="42" spans="1:25" s="4" customFormat="1" ht="22" customHeight="1">
      <c r="A42" s="61"/>
      <c r="B42" s="22"/>
      <c r="C42" s="22"/>
      <c r="D42" s="80"/>
      <c r="E42" s="80"/>
      <c r="F42" s="80"/>
      <c r="G42" s="80"/>
      <c r="H42" s="80"/>
      <c r="I42" s="80"/>
      <c r="J42" s="29"/>
      <c r="K42" s="18"/>
      <c r="L42" s="18"/>
      <c r="M42" s="18"/>
      <c r="N42" s="18"/>
      <c r="O42" s="29"/>
      <c r="P42" s="29"/>
      <c r="Q42" s="29"/>
      <c r="R42" s="29"/>
      <c r="S42" s="1"/>
    </row>
    <row r="43" spans="1:25" s="1" customFormat="1" ht="22" customHeight="1">
      <c r="A43" s="81"/>
      <c r="B43" s="30"/>
      <c r="C43" s="30"/>
      <c r="D43" s="99"/>
      <c r="E43" s="99"/>
      <c r="F43" s="99"/>
      <c r="G43" s="99"/>
      <c r="H43" s="99"/>
      <c r="I43" s="99"/>
      <c r="J43" s="29"/>
      <c r="K43" s="18"/>
      <c r="L43" s="18"/>
      <c r="M43" s="18"/>
      <c r="N43" s="18"/>
      <c r="O43" s="29"/>
      <c r="P43" s="29"/>
      <c r="Q43" s="29"/>
      <c r="R43" s="29"/>
      <c r="S43" s="5"/>
    </row>
    <row r="44" spans="1:25" s="5" customFormat="1" ht="22" customHeight="1">
      <c r="A44" s="1"/>
      <c r="B44" s="1"/>
      <c r="C44" s="1"/>
      <c r="D44" s="1"/>
      <c r="E44" s="1"/>
      <c r="F44" s="1"/>
      <c r="G44" s="1"/>
      <c r="H44" s="1"/>
      <c r="I44" s="18"/>
      <c r="J44" s="19"/>
      <c r="K44" s="19"/>
      <c r="L44" s="19"/>
      <c r="M44" s="19"/>
      <c r="N44" s="19"/>
      <c r="O44" s="19"/>
      <c r="P44" s="19"/>
      <c r="Q44" s="19"/>
      <c r="R44" s="19"/>
      <c r="S44" s="8"/>
      <c r="T44" s="19"/>
      <c r="U44" s="19"/>
      <c r="V44" s="19"/>
      <c r="W44" s="19"/>
    </row>
    <row r="45" spans="1:25" s="6" customFormat="1" ht="22" customHeight="1">
      <c r="A45" s="81"/>
      <c r="B45" s="65"/>
      <c r="C45" s="65"/>
      <c r="D45" s="65"/>
      <c r="E45" s="65"/>
      <c r="F45" s="65"/>
      <c r="G45" s="65"/>
      <c r="H45" s="65"/>
      <c r="I45" s="85"/>
      <c r="J45" s="30"/>
      <c r="K45" s="30"/>
      <c r="L45" s="30"/>
      <c r="M45" s="30"/>
      <c r="N45" s="30"/>
      <c r="O45" s="30"/>
      <c r="P45" s="30"/>
      <c r="Q45" s="30"/>
      <c r="R45" s="30"/>
      <c r="S45" s="4"/>
      <c r="T45" s="29"/>
      <c r="U45" s="29"/>
    </row>
    <row r="46" spans="1:25" s="6" customFormat="1" ht="22" customHeight="1">
      <c r="A46" s="67"/>
      <c r="B46" s="73"/>
      <c r="C46" s="73"/>
      <c r="D46" s="73"/>
      <c r="E46" s="73"/>
      <c r="F46" s="73"/>
      <c r="G46" s="73"/>
      <c r="H46" s="73"/>
      <c r="I46" s="73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</row>
    <row r="47" spans="1:25" s="6" customFormat="1" ht="22" customHeight="1">
      <c r="A47" s="67"/>
      <c r="B47" s="71"/>
      <c r="C47" s="83"/>
      <c r="D47" s="83"/>
      <c r="E47" s="83"/>
      <c r="F47" s="83"/>
      <c r="G47" s="83"/>
      <c r="H47" s="83"/>
      <c r="I47" s="83"/>
      <c r="J47" s="19"/>
      <c r="K47" s="19"/>
      <c r="L47" s="19"/>
      <c r="M47" s="19"/>
      <c r="N47" s="19"/>
      <c r="O47" s="19"/>
      <c r="P47" s="19"/>
      <c r="Q47" s="19"/>
      <c r="R47" s="19"/>
      <c r="S47" s="8"/>
      <c r="T47" s="19"/>
      <c r="U47" s="19"/>
      <c r="V47" s="19"/>
      <c r="W47" s="19"/>
    </row>
    <row r="48" spans="1:25" s="6" customFormat="1" ht="22" customHeight="1">
      <c r="A48" s="65"/>
      <c r="B48" s="85"/>
      <c r="C48" s="85"/>
      <c r="D48" s="85"/>
      <c r="E48" s="85"/>
      <c r="F48" s="85"/>
      <c r="G48" s="85"/>
      <c r="H48" s="85"/>
      <c r="I48" s="85"/>
      <c r="J48" s="5"/>
      <c r="K48" s="23"/>
      <c r="L48" s="23"/>
      <c r="M48" s="23"/>
      <c r="N48" s="23"/>
      <c r="S48" s="5"/>
    </row>
    <row r="49" spans="1:24" s="6" customFormat="1" ht="22" customHeight="1">
      <c r="A49" s="67"/>
      <c r="B49" s="88"/>
      <c r="C49" s="88"/>
      <c r="D49" s="88"/>
      <c r="E49" s="88"/>
      <c r="F49" s="88"/>
      <c r="G49" s="88"/>
      <c r="H49" s="88"/>
      <c r="I49" s="88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</row>
    <row r="50" spans="1:24" s="6" customFormat="1" ht="22" customHeight="1">
      <c r="A50" s="67"/>
      <c r="B50" s="67"/>
      <c r="C50" s="71"/>
      <c r="D50" s="71"/>
      <c r="E50" s="71"/>
      <c r="F50" s="71"/>
      <c r="G50" s="71"/>
      <c r="H50" s="71"/>
      <c r="I50" s="71"/>
      <c r="J50" s="5"/>
      <c r="K50" s="23"/>
      <c r="L50" s="23"/>
      <c r="M50" s="23"/>
      <c r="N50" s="23"/>
      <c r="S50" s="1"/>
    </row>
    <row r="51" spans="1:24" s="6" customFormat="1" ht="22" customHeight="1">
      <c r="A51" s="67"/>
      <c r="B51" s="86"/>
      <c r="C51" s="86"/>
      <c r="D51" s="88"/>
      <c r="E51" s="88"/>
      <c r="F51" s="88"/>
      <c r="G51" s="88"/>
      <c r="H51" s="88"/>
      <c r="I51" s="88"/>
      <c r="J51" s="27"/>
      <c r="K51" s="27"/>
      <c r="L51" s="27"/>
      <c r="M51" s="27"/>
      <c r="N51" s="27"/>
      <c r="O51" s="27"/>
      <c r="P51" s="27"/>
      <c r="Q51" s="27"/>
      <c r="R51" s="27"/>
      <c r="S51" s="15"/>
      <c r="T51" s="27"/>
      <c r="U51" s="27"/>
      <c r="V51" s="27"/>
      <c r="W51" s="27"/>
    </row>
    <row r="52" spans="1:24" s="6" customFormat="1" ht="22" customHeight="1">
      <c r="A52" s="67"/>
      <c r="B52" s="88"/>
      <c r="C52" s="88"/>
      <c r="D52" s="88"/>
      <c r="E52" s="88"/>
      <c r="F52" s="88"/>
      <c r="G52" s="88"/>
      <c r="H52" s="88"/>
      <c r="I52" s="88"/>
      <c r="J52" s="5"/>
      <c r="K52" s="23"/>
      <c r="L52" s="23"/>
      <c r="M52" s="23"/>
      <c r="N52" s="23"/>
    </row>
    <row r="53" spans="1:24" s="6" customFormat="1" ht="22" customHeight="1">
      <c r="A53" s="66"/>
      <c r="B53" s="89"/>
      <c r="C53" s="66"/>
      <c r="D53" s="66"/>
      <c r="E53" s="66"/>
      <c r="F53" s="66"/>
      <c r="G53" s="66"/>
      <c r="H53" s="66"/>
      <c r="I53" s="66"/>
      <c r="J53" s="4"/>
      <c r="K53" s="19"/>
      <c r="L53" s="19"/>
      <c r="M53" s="19"/>
      <c r="N53" s="19"/>
    </row>
    <row r="54" spans="1:24" s="6" customFormat="1" ht="22" customHeight="1">
      <c r="A54" s="67"/>
      <c r="B54" s="67"/>
      <c r="C54" s="67"/>
      <c r="D54" s="67"/>
      <c r="E54" s="67"/>
      <c r="F54" s="85"/>
      <c r="G54" s="85"/>
      <c r="H54" s="85"/>
      <c r="I54" s="85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spans="1:24" s="6" customFormat="1" ht="22" customHeight="1">
      <c r="A55" s="67"/>
      <c r="B55" s="67"/>
      <c r="C55" s="71"/>
      <c r="D55" s="71"/>
      <c r="E55" s="71"/>
      <c r="F55" s="71"/>
      <c r="G55" s="71"/>
      <c r="H55" s="71"/>
      <c r="I55" s="71"/>
      <c r="J55" s="30"/>
      <c r="K55" s="33"/>
      <c r="L55" s="33"/>
      <c r="M55" s="33"/>
      <c r="N55" s="32"/>
      <c r="Q55" s="5"/>
      <c r="R55" s="5"/>
    </row>
    <row r="56" spans="1:24" s="6" customFormat="1" ht="22" customHeight="1">
      <c r="A56" s="65"/>
      <c r="B56" s="90"/>
      <c r="C56" s="91"/>
      <c r="D56" s="91"/>
      <c r="E56" s="91"/>
      <c r="F56" s="92"/>
      <c r="G56" s="92"/>
      <c r="H56" s="92"/>
      <c r="I56" s="93"/>
    </row>
    <row r="57" spans="1:24" s="6" customFormat="1" ht="22" customHeight="1"/>
    <row r="58" spans="1:24" s="6" customFormat="1" ht="22" customHeight="1">
      <c r="A58" s="67"/>
      <c r="B58" s="67"/>
      <c r="C58" s="67"/>
      <c r="D58" s="67"/>
      <c r="E58" s="67"/>
      <c r="F58" s="67"/>
      <c r="G58" s="67"/>
      <c r="H58" s="67"/>
      <c r="I58" s="67"/>
      <c r="J58" s="5"/>
      <c r="L58" s="5"/>
      <c r="M58" s="5"/>
      <c r="N58" s="5"/>
    </row>
    <row r="59" spans="1:24" s="6" customFormat="1" ht="22" customHeight="1">
      <c r="A59" s="5"/>
      <c r="B59" s="5"/>
      <c r="C59" s="31"/>
      <c r="D59" s="31"/>
      <c r="E59" s="31"/>
      <c r="F59" s="5"/>
      <c r="G59" s="5"/>
      <c r="H59" s="5"/>
      <c r="I59" s="5"/>
      <c r="J59" s="34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35"/>
      <c r="X59" s="2"/>
    </row>
    <row r="60" spans="1:24" s="6" customFormat="1" ht="22" customHeight="1">
      <c r="A60" s="25"/>
      <c r="B60" s="5"/>
      <c r="C60" s="34"/>
      <c r="D60" s="34"/>
      <c r="E60" s="34"/>
      <c r="F60" s="34"/>
      <c r="G60" s="34"/>
      <c r="H60" s="34"/>
      <c r="I60" s="34"/>
      <c r="J60" s="34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35"/>
      <c r="X60" s="2"/>
    </row>
    <row r="61" spans="1:24" s="6" customFormat="1" ht="22" customHeight="1">
      <c r="A61" s="25"/>
      <c r="B61" s="5"/>
      <c r="C61" s="34"/>
      <c r="D61" s="34"/>
      <c r="E61" s="34"/>
      <c r="F61" s="34"/>
      <c r="G61" s="34"/>
      <c r="H61" s="34"/>
      <c r="I61" s="34"/>
      <c r="J61" s="3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35"/>
      <c r="X61" s="2"/>
    </row>
    <row r="62" spans="1:24" s="6" customFormat="1" ht="22" customHeight="1">
      <c r="A62" s="25"/>
      <c r="B62" s="5"/>
      <c r="C62" s="34"/>
      <c r="D62" s="34"/>
      <c r="E62" s="34"/>
      <c r="F62" s="34"/>
      <c r="G62" s="34"/>
      <c r="H62" s="34"/>
      <c r="I62" s="3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35"/>
      <c r="X62" s="2"/>
    </row>
    <row r="63" spans="1:24" s="6" customFormat="1" ht="22" customHeight="1">
      <c r="A63" s="25"/>
      <c r="B63" s="5"/>
      <c r="C63" s="5"/>
      <c r="D63" s="5"/>
      <c r="E63" s="5"/>
      <c r="J63" s="3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35"/>
      <c r="X63" s="2"/>
    </row>
    <row r="64" spans="1:24" s="6" customFormat="1" ht="22" customHeight="1">
      <c r="A64" s="25"/>
      <c r="B64" s="5"/>
      <c r="C64" s="34"/>
      <c r="D64" s="34"/>
      <c r="E64" s="34"/>
      <c r="F64" s="34"/>
      <c r="G64" s="34"/>
      <c r="H64" s="34"/>
      <c r="I64" s="34"/>
      <c r="J64" s="3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35"/>
      <c r="X64" s="2"/>
    </row>
    <row r="65" spans="1:24" s="6" customFormat="1" ht="22" customHeight="1">
      <c r="A65" s="25"/>
      <c r="B65" s="5"/>
      <c r="C65" s="34"/>
      <c r="D65" s="34"/>
      <c r="E65" s="34"/>
      <c r="F65" s="34"/>
      <c r="G65" s="34"/>
      <c r="H65" s="34"/>
      <c r="I65" s="34"/>
      <c r="J65" s="3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35"/>
      <c r="X65" s="2"/>
    </row>
    <row r="66" spans="1:24" s="6" customFormat="1" ht="22" customHeight="1">
      <c r="A66" s="25"/>
      <c r="B66" s="5"/>
      <c r="C66" s="34"/>
      <c r="D66" s="34"/>
      <c r="E66" s="34"/>
      <c r="F66" s="34"/>
      <c r="G66" s="34"/>
      <c r="H66" s="34"/>
      <c r="I66" s="3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s="6" customFormat="1" ht="22" customHeight="1">
      <c r="A67" s="25"/>
      <c r="B67" s="5"/>
      <c r="J67" s="35"/>
      <c r="K67" s="35"/>
      <c r="L67" s="35"/>
      <c r="M67" s="35"/>
      <c r="N67" s="35"/>
      <c r="O67" s="35"/>
      <c r="P67" s="35"/>
      <c r="Q67" s="35"/>
      <c r="R67" s="35"/>
      <c r="S67" s="3"/>
      <c r="T67" s="35"/>
      <c r="U67" s="35"/>
      <c r="V67" s="35"/>
      <c r="W67" s="35"/>
      <c r="X67" s="2"/>
    </row>
    <row r="68" spans="1:24" s="6" customFormat="1" ht="22" customHeight="1">
      <c r="B68" s="4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"/>
      <c r="T68" s="35"/>
      <c r="U68" s="35"/>
      <c r="V68" s="35"/>
      <c r="W68" s="35"/>
      <c r="X68" s="2"/>
    </row>
    <row r="69" spans="1:24" s="6" customFormat="1" ht="22" customHeight="1">
      <c r="B69" s="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"/>
      <c r="T69" s="35"/>
      <c r="U69" s="35"/>
      <c r="V69" s="35"/>
      <c r="W69" s="35"/>
      <c r="X69" s="2"/>
    </row>
    <row r="70" spans="1:24" s="4" customFormat="1" ht="22" customHeight="1">
      <c r="A70" s="6"/>
      <c r="C70" s="35"/>
      <c r="D70" s="35"/>
      <c r="E70" s="35"/>
      <c r="F70" s="35"/>
      <c r="G70" s="35"/>
      <c r="H70" s="35"/>
      <c r="I70" s="35"/>
      <c r="J70" s="6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s="5" customFormat="1" ht="22" customHeight="1">
      <c r="A71" s="6"/>
      <c r="B71" s="4"/>
      <c r="C71" s="6"/>
      <c r="D71" s="6"/>
      <c r="E71" s="6"/>
      <c r="F71" s="6"/>
      <c r="G71" s="6"/>
      <c r="H71" s="6"/>
      <c r="I71" s="6"/>
      <c r="J71" s="6"/>
      <c r="K71" s="35"/>
      <c r="L71" s="35"/>
      <c r="M71" s="35"/>
      <c r="N71" s="2"/>
      <c r="O71" s="35"/>
      <c r="P71" s="35"/>
      <c r="Q71" s="35"/>
      <c r="R71" s="35"/>
      <c r="S71" s="2"/>
      <c r="T71" s="2"/>
      <c r="U71" s="2"/>
      <c r="V71" s="2"/>
      <c r="W71" s="2"/>
      <c r="X71" s="2"/>
    </row>
    <row r="72" spans="1:24" s="5" customFormat="1" ht="22" customHeight="1">
      <c r="A72" s="6"/>
      <c r="B72" s="12"/>
      <c r="C72" s="35"/>
      <c r="D72" s="35"/>
      <c r="E72" s="35"/>
      <c r="F72" s="35"/>
      <c r="G72" s="35"/>
      <c r="H72" s="35"/>
      <c r="I72" s="35"/>
      <c r="J72" s="6"/>
      <c r="K72" s="35"/>
      <c r="L72" s="35"/>
      <c r="M72" s="35"/>
      <c r="N72" s="35"/>
      <c r="O72" s="35"/>
      <c r="P72" s="35"/>
      <c r="Q72" s="35"/>
      <c r="R72" s="35"/>
      <c r="S72" s="3"/>
      <c r="T72" s="35"/>
      <c r="U72" s="35"/>
      <c r="V72" s="35"/>
      <c r="W72" s="35"/>
      <c r="X72" s="2"/>
    </row>
    <row r="73" spans="1:24" s="5" customFormat="1" ht="22" customHeight="1">
      <c r="A73" s="6"/>
      <c r="B73" s="36"/>
      <c r="C73" s="36"/>
      <c r="D73" s="35"/>
      <c r="E73" s="35"/>
      <c r="F73" s="35"/>
      <c r="G73" s="35"/>
      <c r="H73" s="35"/>
      <c r="I73" s="35"/>
      <c r="J73" s="6"/>
      <c r="K73" s="35"/>
      <c r="L73" s="35"/>
      <c r="M73" s="35"/>
      <c r="N73" s="35"/>
      <c r="O73" s="35"/>
      <c r="P73" s="35"/>
      <c r="Q73" s="35"/>
      <c r="R73" s="35"/>
      <c r="S73" s="3"/>
      <c r="T73" s="35"/>
      <c r="U73" s="35"/>
      <c r="V73" s="35"/>
      <c r="W73" s="35"/>
      <c r="X73" s="2"/>
    </row>
    <row r="74" spans="1:24" s="5" customFormat="1" ht="22" customHeight="1">
      <c r="A74" s="6"/>
      <c r="C74" s="36"/>
      <c r="D74" s="35"/>
      <c r="E74" s="35"/>
      <c r="F74" s="35"/>
      <c r="G74" s="35"/>
      <c r="H74" s="35"/>
      <c r="I74" s="35"/>
      <c r="K74" s="35"/>
      <c r="L74" s="35"/>
      <c r="M74" s="35"/>
      <c r="N74" s="35"/>
      <c r="O74" s="35"/>
      <c r="P74" s="35"/>
      <c r="Q74" s="35"/>
      <c r="R74" s="35"/>
      <c r="S74" s="3"/>
      <c r="T74" s="35"/>
      <c r="U74" s="35"/>
      <c r="V74" s="35"/>
      <c r="W74" s="35"/>
      <c r="X74" s="2"/>
    </row>
    <row r="75" spans="1:24" s="5" customFormat="1" ht="22" customHeight="1">
      <c r="A75" s="6"/>
      <c r="C75" s="36"/>
      <c r="D75" s="35"/>
      <c r="E75" s="35"/>
      <c r="F75" s="35"/>
      <c r="G75" s="35"/>
      <c r="H75" s="35"/>
      <c r="I75" s="35"/>
      <c r="J75" s="6"/>
      <c r="K75" s="35"/>
      <c r="L75" s="35"/>
      <c r="M75" s="35"/>
      <c r="N75" s="35"/>
      <c r="O75" s="35"/>
      <c r="P75" s="35"/>
      <c r="Q75" s="35"/>
      <c r="R75" s="35"/>
      <c r="S75" s="3"/>
      <c r="T75" s="35"/>
      <c r="U75" s="35"/>
      <c r="V75" s="35"/>
      <c r="W75" s="35"/>
      <c r="X75" s="2"/>
    </row>
    <row r="76" spans="1:24" s="5" customFormat="1" ht="22" customHeight="1">
      <c r="A76" s="6"/>
      <c r="C76" s="36"/>
      <c r="D76" s="35"/>
      <c r="E76" s="35"/>
      <c r="F76" s="35"/>
      <c r="G76" s="35"/>
      <c r="H76" s="35"/>
      <c r="I76" s="35"/>
      <c r="J76" s="6"/>
      <c r="K76" s="35"/>
      <c r="L76" s="35"/>
      <c r="M76" s="35"/>
      <c r="N76" s="35"/>
      <c r="O76" s="35"/>
      <c r="P76" s="35"/>
      <c r="Q76" s="35"/>
      <c r="R76" s="35"/>
      <c r="S76" s="3"/>
      <c r="T76" s="35"/>
      <c r="U76" s="35"/>
      <c r="V76" s="35"/>
      <c r="W76" s="35"/>
      <c r="X76" s="2"/>
    </row>
    <row r="77" spans="1:24" s="4" customFormat="1" ht="22" customHeight="1">
      <c r="A77" s="6"/>
      <c r="B77" s="5"/>
      <c r="C77" s="36"/>
      <c r="D77" s="35"/>
      <c r="E77" s="35"/>
      <c r="F77" s="35"/>
      <c r="G77" s="35"/>
      <c r="H77" s="35"/>
      <c r="I77" s="35"/>
      <c r="K77" s="35"/>
      <c r="L77" s="35"/>
      <c r="M77" s="35"/>
      <c r="N77" s="35"/>
      <c r="O77" s="35"/>
      <c r="P77" s="35"/>
      <c r="Q77" s="35"/>
      <c r="R77" s="35"/>
      <c r="S77" s="3"/>
      <c r="T77" s="35"/>
      <c r="U77" s="35"/>
      <c r="V77" s="35"/>
      <c r="W77" s="35"/>
      <c r="X77" s="2"/>
    </row>
    <row r="78" spans="1:24" s="5" customFormat="1" ht="22" customHeight="1">
      <c r="A78" s="6"/>
      <c r="C78" s="36"/>
      <c r="D78" s="36"/>
      <c r="E78" s="36"/>
      <c r="F78" s="36"/>
      <c r="G78" s="36"/>
      <c r="H78" s="36"/>
      <c r="I78" s="36"/>
      <c r="K78" s="35"/>
      <c r="L78" s="35"/>
      <c r="M78" s="35"/>
      <c r="N78" s="35"/>
      <c r="O78" s="35"/>
      <c r="P78" s="35"/>
      <c r="Q78" s="35"/>
      <c r="R78" s="35"/>
      <c r="S78" s="3"/>
      <c r="T78" s="35"/>
      <c r="U78" s="35"/>
      <c r="V78" s="35"/>
      <c r="W78" s="35"/>
      <c r="X78" s="2"/>
    </row>
    <row r="79" spans="1:24" s="4" customFormat="1" ht="22" customHeight="1">
      <c r="A79" s="6"/>
      <c r="B79" s="5"/>
      <c r="C79" s="35"/>
      <c r="D79" s="35"/>
      <c r="E79" s="35"/>
      <c r="F79" s="35"/>
      <c r="G79" s="35"/>
      <c r="H79" s="35"/>
      <c r="I79" s="35"/>
      <c r="J79" s="34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s="4" customFormat="1" ht="22" customHeight="1">
      <c r="A80" s="6"/>
      <c r="B80" s="5"/>
      <c r="C80" s="34"/>
      <c r="D80" s="34"/>
      <c r="E80" s="34"/>
      <c r="F80" s="34"/>
      <c r="G80" s="34"/>
      <c r="H80" s="34"/>
      <c r="I80" s="34"/>
      <c r="J80" s="5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2" s="12" customFormat="1" ht="22" customHeight="1">
      <c r="A81" s="6"/>
      <c r="B81" s="4"/>
      <c r="C81" s="36"/>
      <c r="D81" s="6"/>
      <c r="E81" s="6"/>
      <c r="F81" s="37"/>
      <c r="G81" s="6"/>
      <c r="H81" s="6"/>
      <c r="I81" s="6"/>
      <c r="J81" s="4"/>
      <c r="K81" s="4"/>
      <c r="L81" s="4"/>
      <c r="M81" s="4"/>
      <c r="N81" s="4"/>
      <c r="O81" s="6"/>
      <c r="P81" s="6"/>
      <c r="Q81" s="6"/>
      <c r="R81" s="6"/>
      <c r="S81" s="5"/>
      <c r="U81" s="35"/>
      <c r="V81" s="5"/>
    </row>
    <row r="82" spans="1:22" s="5" customFormat="1" ht="22" customHeight="1">
      <c r="B82" s="26"/>
      <c r="C82" s="14"/>
      <c r="D82" s="14"/>
      <c r="E82" s="14"/>
      <c r="F82" s="14"/>
      <c r="G82" s="14"/>
      <c r="H82" s="14"/>
      <c r="I82" s="4"/>
      <c r="J82" s="1"/>
      <c r="O82" s="6"/>
      <c r="P82" s="6"/>
      <c r="Q82" s="6"/>
      <c r="R82" s="6"/>
      <c r="U82" s="35"/>
    </row>
    <row r="83" spans="1:22" s="5" customFormat="1" ht="22" customHeight="1">
      <c r="B83" s="22"/>
      <c r="C83" s="22"/>
      <c r="D83" s="22"/>
      <c r="E83" s="22"/>
      <c r="J83" s="1"/>
      <c r="O83" s="6"/>
      <c r="P83" s="6"/>
      <c r="Q83" s="6"/>
      <c r="R83" s="6"/>
      <c r="U83" s="35"/>
    </row>
    <row r="84" spans="1:22" s="5" customFormat="1" ht="22" customHeight="1">
      <c r="B84" s="22"/>
      <c r="C84" s="22"/>
      <c r="D84" s="22"/>
      <c r="E84" s="22"/>
      <c r="J84" s="1"/>
      <c r="K84" s="38"/>
      <c r="O84" s="6"/>
      <c r="P84" s="35"/>
      <c r="Q84" s="35"/>
      <c r="R84" s="35"/>
      <c r="S84" s="4"/>
      <c r="U84" s="35"/>
    </row>
    <row r="85" spans="1:22" s="5" customFormat="1" ht="22" customHeight="1">
      <c r="A85" s="1"/>
      <c r="B85" s="22"/>
      <c r="C85" s="22"/>
      <c r="D85" s="22"/>
      <c r="E85" s="22"/>
      <c r="J85" s="1"/>
      <c r="O85" s="6"/>
      <c r="P85" s="35"/>
      <c r="Q85" s="35"/>
      <c r="R85" s="35"/>
      <c r="U85" s="35"/>
    </row>
    <row r="86" spans="1:22" s="5" customFormat="1" ht="22" customHeight="1">
      <c r="B86" s="22"/>
      <c r="C86" s="22"/>
      <c r="D86" s="22"/>
      <c r="E86" s="22"/>
      <c r="J86" s="4"/>
      <c r="O86" s="6"/>
      <c r="P86" s="6"/>
      <c r="Q86" s="6"/>
      <c r="R86" s="6"/>
      <c r="S86" s="4"/>
      <c r="U86" s="35"/>
      <c r="V86" s="4"/>
    </row>
    <row r="87" spans="1:22" s="5" customFormat="1" ht="22" customHeight="1">
      <c r="B87" s="22"/>
      <c r="C87" s="22"/>
      <c r="D87" s="22"/>
      <c r="E87" s="22"/>
      <c r="O87" s="6"/>
      <c r="P87" s="6"/>
      <c r="Q87" s="6"/>
      <c r="R87" s="6"/>
      <c r="S87" s="4"/>
      <c r="U87" s="35"/>
    </row>
    <row r="88" spans="1:22" s="5" customFormat="1" ht="22" customHeight="1">
      <c r="B88" s="14"/>
      <c r="C88" s="14"/>
      <c r="D88" s="14"/>
      <c r="E88" s="14"/>
      <c r="F88" s="14"/>
      <c r="G88" s="14"/>
      <c r="H88" s="14"/>
      <c r="K88" s="4"/>
      <c r="L88" s="4"/>
      <c r="M88" s="4"/>
      <c r="N88" s="4"/>
      <c r="O88" s="6"/>
      <c r="P88" s="35"/>
      <c r="Q88" s="35"/>
      <c r="R88" s="35"/>
      <c r="S88" s="12"/>
      <c r="U88" s="35"/>
      <c r="V88" s="4"/>
    </row>
    <row r="89" spans="1:22" s="5" customFormat="1" ht="22" customHeight="1">
      <c r="B89" s="22"/>
      <c r="C89" s="22"/>
      <c r="D89" s="22"/>
      <c r="E89" s="22"/>
      <c r="F89" s="4"/>
      <c r="G89" s="39"/>
      <c r="H89" s="39"/>
      <c r="I89" s="4"/>
      <c r="O89" s="6"/>
      <c r="P89" s="35"/>
      <c r="Q89" s="35"/>
      <c r="R89" s="35"/>
      <c r="U89" s="35"/>
      <c r="V89" s="12"/>
    </row>
    <row r="90" spans="1:22" s="4" customFormat="1" ht="22" customHeight="1">
      <c r="A90" s="5"/>
      <c r="B90" s="26"/>
      <c r="C90" s="26"/>
      <c r="D90" s="26"/>
      <c r="E90" s="26"/>
      <c r="F90" s="26"/>
      <c r="G90" s="26"/>
      <c r="H90" s="26"/>
      <c r="I90" s="5"/>
      <c r="O90" s="6"/>
      <c r="P90" s="35"/>
      <c r="Q90" s="35"/>
      <c r="R90" s="35"/>
      <c r="S90" s="5"/>
      <c r="U90" s="6"/>
      <c r="V90" s="5"/>
    </row>
    <row r="91" spans="1:22" s="6" customFormat="1" ht="22" customHeight="1">
      <c r="A91" s="5"/>
      <c r="B91" s="22"/>
      <c r="C91" s="22"/>
      <c r="D91" s="22"/>
      <c r="E91" s="22"/>
      <c r="F91" s="40"/>
      <c r="G91" s="40"/>
      <c r="H91" s="40"/>
      <c r="I91" s="4"/>
      <c r="J91" s="5"/>
      <c r="K91" s="12"/>
      <c r="L91" s="12"/>
      <c r="M91" s="12"/>
      <c r="N91" s="12"/>
      <c r="P91" s="35"/>
      <c r="Q91" s="35"/>
      <c r="R91" s="35"/>
      <c r="S91" s="5"/>
      <c r="U91" s="4"/>
      <c r="V91" s="5"/>
    </row>
    <row r="92" spans="1:22" s="1" customFormat="1" ht="22" customHeight="1">
      <c r="A92" s="5"/>
      <c r="B92" s="22"/>
      <c r="C92" s="22"/>
      <c r="D92" s="22"/>
      <c r="E92" s="22"/>
      <c r="F92" s="22"/>
      <c r="G92" s="22"/>
      <c r="H92" s="22"/>
      <c r="I92" s="12"/>
      <c r="J92" s="5"/>
      <c r="K92" s="5"/>
      <c r="L92" s="5"/>
      <c r="M92" s="5"/>
      <c r="N92" s="5"/>
      <c r="O92" s="6"/>
      <c r="P92" s="35"/>
      <c r="Q92" s="35"/>
      <c r="R92" s="35"/>
      <c r="S92" s="5"/>
      <c r="U92" s="5"/>
      <c r="V92" s="5"/>
    </row>
    <row r="93" spans="1:22" s="1" customFormat="1" ht="22" customHeight="1">
      <c r="A93" s="4"/>
      <c r="B93" s="22"/>
      <c r="C93" s="22"/>
      <c r="D93" s="22"/>
      <c r="E93" s="22"/>
      <c r="F93" s="5"/>
      <c r="G93" s="5"/>
      <c r="H93" s="5"/>
      <c r="I93" s="5"/>
      <c r="J93" s="5"/>
      <c r="K93" s="5"/>
      <c r="L93" s="5"/>
      <c r="M93" s="5"/>
      <c r="N93" s="5"/>
      <c r="O93" s="6"/>
      <c r="P93" s="35"/>
      <c r="Q93" s="35"/>
      <c r="R93" s="35"/>
      <c r="S93" s="5"/>
      <c r="U93" s="5"/>
      <c r="V93" s="5"/>
    </row>
    <row r="94" spans="1:22" s="1" customFormat="1" ht="22" customHeight="1">
      <c r="A94" s="12"/>
      <c r="B94" s="22"/>
      <c r="C94" s="22"/>
      <c r="D94" s="22"/>
      <c r="E94" s="22"/>
      <c r="F94" s="5"/>
      <c r="G94" s="5"/>
      <c r="H94" s="5"/>
      <c r="I94" s="5"/>
      <c r="J94" s="5"/>
      <c r="K94" s="5"/>
      <c r="L94" s="5"/>
      <c r="M94" s="5"/>
      <c r="N94" s="5"/>
      <c r="O94" s="6"/>
      <c r="P94" s="35"/>
      <c r="Q94" s="35"/>
      <c r="R94" s="35"/>
      <c r="S94" s="5"/>
      <c r="U94" s="5"/>
      <c r="V94" s="5"/>
    </row>
    <row r="95" spans="1:22" s="1" customFormat="1" ht="22" customHeight="1">
      <c r="A95" s="5"/>
      <c r="B95" s="22"/>
      <c r="C95" s="22"/>
      <c r="D95" s="22"/>
      <c r="E95" s="22"/>
      <c r="F95" s="5"/>
      <c r="G95" s="5"/>
      <c r="H95" s="5"/>
      <c r="I95" s="5"/>
      <c r="J95" s="5"/>
      <c r="K95" s="5"/>
      <c r="L95" s="5"/>
      <c r="M95" s="5"/>
      <c r="N95" s="5"/>
      <c r="O95" s="6"/>
      <c r="P95" s="35"/>
      <c r="Q95" s="35"/>
      <c r="R95" s="35"/>
      <c r="S95" s="5"/>
      <c r="U95" s="5"/>
      <c r="V95" s="5"/>
    </row>
    <row r="96" spans="1:22" s="4" customFormat="1" ht="22" customHeight="1">
      <c r="A96" s="5"/>
      <c r="B96" s="22"/>
      <c r="C96" s="22"/>
      <c r="D96" s="22"/>
      <c r="E96" s="22"/>
      <c r="F96" s="5"/>
      <c r="G96" s="5"/>
      <c r="H96" s="5"/>
      <c r="I96" s="5"/>
      <c r="K96" s="5"/>
      <c r="L96" s="5"/>
      <c r="M96" s="5"/>
      <c r="N96" s="5"/>
      <c r="O96" s="6"/>
      <c r="P96" s="35"/>
      <c r="Q96" s="35"/>
      <c r="R96" s="35"/>
      <c r="S96" s="5"/>
      <c r="U96" s="5"/>
    </row>
    <row r="97" spans="1:22" s="5" customFormat="1" ht="22" customHeight="1">
      <c r="B97" s="26"/>
      <c r="C97" s="26"/>
      <c r="D97" s="26"/>
      <c r="E97" s="26"/>
      <c r="F97" s="26"/>
      <c r="G97" s="26"/>
      <c r="H97" s="26"/>
      <c r="J97" s="1"/>
      <c r="O97" s="6"/>
      <c r="P97" s="6"/>
      <c r="Q97" s="6"/>
      <c r="R97" s="6"/>
      <c r="S97" s="4"/>
      <c r="V97" s="6"/>
    </row>
    <row r="98" spans="1:22" s="5" customFormat="1" ht="22" customHeight="1">
      <c r="A98" s="1"/>
      <c r="B98" s="4"/>
      <c r="C98" s="1"/>
      <c r="D98" s="1"/>
      <c r="E98" s="1"/>
      <c r="O98" s="4"/>
      <c r="P98" s="4"/>
      <c r="Q98" s="4"/>
      <c r="R98" s="4"/>
      <c r="S98" s="6"/>
      <c r="U98" s="4"/>
      <c r="V98" s="1"/>
    </row>
    <row r="99" spans="1:22" s="5" customFormat="1" ht="22" customHeight="1">
      <c r="A99" s="41"/>
      <c r="C99" s="1"/>
      <c r="D99" s="1"/>
      <c r="E99" s="1"/>
      <c r="K99" s="4"/>
      <c r="L99" s="4"/>
      <c r="M99" s="4"/>
      <c r="N99" s="4"/>
      <c r="S99" s="1"/>
      <c r="V99" s="1"/>
    </row>
    <row r="100" spans="1:22" s="4" customFormat="1" ht="22" customHeight="1">
      <c r="A100" s="1"/>
      <c r="B100" s="5"/>
      <c r="C100" s="1"/>
      <c r="D100" s="1"/>
      <c r="E100" s="1"/>
      <c r="J100" s="5"/>
      <c r="K100" s="6"/>
      <c r="L100" s="6"/>
      <c r="M100" s="6"/>
      <c r="N100" s="6"/>
      <c r="O100" s="5"/>
      <c r="P100" s="5"/>
      <c r="Q100" s="5"/>
      <c r="R100" s="5"/>
      <c r="S100" s="1"/>
      <c r="V100" s="1"/>
    </row>
    <row r="101" spans="1:22" s="5" customFormat="1" ht="22" customHeight="1">
      <c r="A101" s="30"/>
      <c r="C101" s="1"/>
      <c r="D101" s="1"/>
      <c r="E101" s="1"/>
      <c r="F101" s="6"/>
      <c r="G101" s="6"/>
      <c r="H101" s="6"/>
      <c r="I101" s="6"/>
      <c r="J101" s="1"/>
      <c r="K101" s="1"/>
      <c r="L101" s="1"/>
      <c r="M101" s="1"/>
      <c r="N101" s="1"/>
      <c r="S101" s="1"/>
      <c r="U101" s="12"/>
      <c r="V101" s="1"/>
    </row>
    <row r="102" spans="1:22" s="5" customFormat="1" ht="22" customHeight="1">
      <c r="A102" s="4"/>
      <c r="B102" s="4"/>
      <c r="C102" s="4"/>
      <c r="D102" s="4"/>
      <c r="E102" s="4"/>
      <c r="F102" s="1"/>
      <c r="G102" s="1"/>
      <c r="H102" s="1"/>
      <c r="I102" s="1"/>
      <c r="J102" s="1"/>
      <c r="K102" s="1"/>
      <c r="L102" s="1"/>
      <c r="M102" s="1"/>
      <c r="N102" s="1"/>
      <c r="S102" s="1"/>
      <c r="V102" s="4"/>
    </row>
    <row r="103" spans="1:22" s="5" customFormat="1" ht="22" customHeight="1">
      <c r="B103" s="1"/>
      <c r="F103" s="1"/>
      <c r="G103" s="1"/>
      <c r="H103" s="1"/>
      <c r="I103" s="1"/>
      <c r="J103" s="1"/>
      <c r="K103" s="1"/>
      <c r="L103" s="1"/>
      <c r="M103" s="1"/>
      <c r="N103" s="1"/>
      <c r="S103" s="4"/>
    </row>
    <row r="104" spans="1:22" s="5" customFormat="1" ht="22" customHeight="1">
      <c r="F104" s="1"/>
      <c r="G104" s="1"/>
      <c r="H104" s="1"/>
      <c r="I104" s="1"/>
      <c r="J104" s="1"/>
      <c r="K104" s="1"/>
      <c r="L104" s="1"/>
      <c r="M104" s="1"/>
      <c r="N104" s="1"/>
    </row>
    <row r="105" spans="1:22" s="5" customFormat="1" ht="22" customHeight="1">
      <c r="F105" s="1"/>
      <c r="G105" s="1"/>
      <c r="H105" s="1"/>
      <c r="I105" s="1"/>
      <c r="J105" s="4"/>
      <c r="K105" s="4"/>
      <c r="L105" s="4"/>
      <c r="M105" s="4"/>
      <c r="N105" s="4"/>
      <c r="O105" s="4"/>
      <c r="P105" s="4"/>
      <c r="Q105" s="4"/>
      <c r="R105" s="4"/>
    </row>
    <row r="106" spans="1:22" s="4" customFormat="1" ht="22" customHeight="1">
      <c r="B106" s="22"/>
      <c r="C106" s="22"/>
      <c r="D106" s="22"/>
      <c r="E106" s="22"/>
      <c r="F106" s="22"/>
      <c r="G106" s="22"/>
      <c r="H106" s="22"/>
      <c r="J106" s="5"/>
      <c r="K106" s="5"/>
      <c r="L106" s="5"/>
      <c r="M106" s="5"/>
      <c r="N106" s="5"/>
      <c r="O106" s="5"/>
      <c r="P106" s="5"/>
      <c r="Q106" s="5"/>
      <c r="R106" s="5"/>
      <c r="S106" s="5"/>
      <c r="U106" s="5"/>
      <c r="V106" s="5"/>
    </row>
    <row r="107" spans="1:22" s="1" customFormat="1" ht="22" customHeight="1">
      <c r="A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4"/>
      <c r="P107" s="4"/>
      <c r="Q107" s="4"/>
      <c r="R107" s="4"/>
      <c r="S107" s="4"/>
      <c r="U107" s="5"/>
      <c r="V107" s="4"/>
    </row>
    <row r="108" spans="1:22" s="1" customFormat="1" ht="22" customHeight="1">
      <c r="A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2"/>
      <c r="P108" s="12"/>
      <c r="Q108" s="12"/>
      <c r="R108" s="12"/>
      <c r="S108" s="5"/>
      <c r="U108" s="5"/>
      <c r="V108" s="5"/>
    </row>
    <row r="109" spans="1:22" s="1" customFormat="1" ht="22" customHeight="1">
      <c r="A109" s="4"/>
      <c r="B109" s="4"/>
      <c r="C109" s="4"/>
      <c r="D109" s="4"/>
      <c r="E109" s="4"/>
      <c r="F109" s="5"/>
      <c r="G109" s="5"/>
      <c r="H109" s="5"/>
      <c r="I109" s="5"/>
      <c r="J109" s="4"/>
      <c r="K109" s="4"/>
      <c r="L109" s="4"/>
      <c r="M109" s="4"/>
      <c r="N109" s="4"/>
      <c r="O109" s="5"/>
      <c r="P109" s="5"/>
      <c r="Q109" s="5"/>
      <c r="R109" s="5"/>
      <c r="S109" s="5"/>
      <c r="U109" s="5"/>
    </row>
    <row r="110" spans="1:22" s="4" customFormat="1" ht="22" customHeight="1">
      <c r="A110" s="5"/>
      <c r="B110" s="22"/>
      <c r="C110" s="22"/>
      <c r="D110" s="22"/>
      <c r="E110" s="22"/>
      <c r="F110" s="39"/>
      <c r="G110" s="39"/>
      <c r="H110" s="39"/>
      <c r="J110" s="5"/>
      <c r="K110" s="5"/>
      <c r="L110" s="5"/>
      <c r="M110" s="5"/>
      <c r="N110" s="5"/>
      <c r="O110" s="5"/>
      <c r="P110" s="5"/>
      <c r="Q110" s="5"/>
      <c r="R110" s="5"/>
      <c r="S110" s="5"/>
      <c r="U110" s="6"/>
      <c r="V110" s="5"/>
    </row>
    <row r="111" spans="1:22" s="5" customFormat="1" ht="22" customHeight="1">
      <c r="A111" s="4"/>
      <c r="B111" s="14"/>
      <c r="C111" s="14"/>
      <c r="D111" s="14"/>
      <c r="E111" s="14"/>
      <c r="F111" s="14"/>
      <c r="G111" s="14"/>
      <c r="H111" s="14"/>
      <c r="U111" s="1"/>
    </row>
    <row r="112" spans="1:22" s="5" customFormat="1" ht="22" customHeight="1">
      <c r="A112" s="30"/>
      <c r="B112" s="1"/>
      <c r="C112" s="1"/>
      <c r="D112" s="1"/>
      <c r="E112" s="1"/>
      <c r="U112" s="1"/>
      <c r="V112" s="4"/>
    </row>
    <row r="113" spans="1:26" s="4" customFormat="1" ht="22" customHeight="1">
      <c r="A113" s="30"/>
      <c r="B113" s="10"/>
      <c r="C113" s="1"/>
      <c r="D113" s="1"/>
      <c r="E113" s="1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U113" s="1"/>
      <c r="V113" s="1"/>
    </row>
    <row r="114" spans="1:26" s="5" customFormat="1" ht="22" customHeight="1">
      <c r="A114" s="4"/>
      <c r="B114" s="4"/>
      <c r="C114" s="10"/>
      <c r="D114" s="4"/>
      <c r="E114" s="4"/>
      <c r="J114" s="1"/>
      <c r="K114" s="1"/>
      <c r="L114" s="1"/>
      <c r="M114" s="1"/>
      <c r="N114" s="1"/>
      <c r="S114" s="1"/>
      <c r="U114" s="1"/>
      <c r="V114" s="1"/>
    </row>
    <row r="115" spans="1:26" s="5" customFormat="1" ht="22" customHeight="1">
      <c r="B115" s="29"/>
      <c r="F115" s="1"/>
      <c r="G115" s="1"/>
      <c r="H115" s="1"/>
      <c r="I115" s="1"/>
      <c r="J115" s="1"/>
      <c r="K115" s="1"/>
      <c r="L115" s="1"/>
      <c r="M115" s="1"/>
      <c r="N115" s="1"/>
      <c r="S115" s="1"/>
      <c r="U115" s="4"/>
      <c r="V115" s="1"/>
    </row>
    <row r="116" spans="1:26" s="5" customFormat="1" ht="22" customHeight="1">
      <c r="B116" s="29"/>
      <c r="I116" s="1"/>
      <c r="J116" s="1"/>
      <c r="K116" s="1"/>
      <c r="L116" s="1"/>
      <c r="M116" s="1"/>
      <c r="N116" s="1"/>
      <c r="O116" s="4"/>
      <c r="P116" s="4"/>
      <c r="Q116" s="4"/>
      <c r="R116" s="4"/>
      <c r="S116" s="1"/>
      <c r="V116" s="4"/>
    </row>
    <row r="117" spans="1:26" s="4" customFormat="1" ht="22" customHeight="1">
      <c r="B117" s="1"/>
      <c r="C117" s="1"/>
      <c r="D117" s="1"/>
      <c r="E117" s="1"/>
      <c r="F117" s="1"/>
      <c r="G117" s="1"/>
      <c r="H117" s="1"/>
      <c r="I117" s="1"/>
      <c r="O117" s="6"/>
      <c r="P117" s="6"/>
      <c r="Q117" s="6"/>
      <c r="R117" s="6"/>
      <c r="U117" s="5"/>
      <c r="V117" s="5"/>
    </row>
    <row r="118" spans="1:26" s="1" customFormat="1" ht="22" customHeight="1">
      <c r="A118" s="5"/>
      <c r="D118" s="5"/>
      <c r="E118" s="5"/>
      <c r="F118" s="5"/>
      <c r="G118" s="5"/>
      <c r="H118" s="5"/>
      <c r="I118" s="4"/>
      <c r="J118" s="5"/>
      <c r="K118" s="5"/>
      <c r="L118" s="5"/>
      <c r="M118" s="5"/>
      <c r="N118" s="5"/>
      <c r="S118" s="5"/>
      <c r="U118" s="5"/>
      <c r="V118" s="5"/>
    </row>
    <row r="119" spans="1:26" s="5" customFormat="1" ht="22" customHeight="1">
      <c r="B119" s="1"/>
      <c r="O119" s="1"/>
      <c r="P119" s="1"/>
      <c r="Q119" s="1"/>
      <c r="R119" s="1"/>
      <c r="U119" s="4"/>
      <c r="V119" s="4"/>
    </row>
    <row r="120" spans="1:26" s="5" customFormat="1" ht="22" customHeight="1">
      <c r="B120" s="1"/>
      <c r="J120" s="4"/>
      <c r="K120" s="4"/>
      <c r="L120" s="4"/>
      <c r="M120" s="4"/>
      <c r="N120" s="4"/>
      <c r="O120" s="1"/>
      <c r="P120" s="1"/>
      <c r="Q120" s="1"/>
      <c r="R120" s="1"/>
      <c r="S120" s="4"/>
    </row>
    <row r="121" spans="1:26" s="1" customFormat="1" ht="22" customHeight="1">
      <c r="A121" s="4"/>
      <c r="B121" s="27"/>
      <c r="C121" s="42"/>
      <c r="D121" s="42"/>
      <c r="E121" s="42"/>
      <c r="F121" s="42"/>
      <c r="G121" s="42"/>
      <c r="H121" s="42"/>
      <c r="I121" s="4"/>
      <c r="J121" s="4"/>
      <c r="K121" s="4"/>
      <c r="L121" s="4"/>
      <c r="M121" s="4"/>
      <c r="N121" s="4"/>
      <c r="S121" s="5"/>
      <c r="U121" s="5"/>
      <c r="V121" s="5"/>
    </row>
    <row r="122" spans="1:26" s="1" customFormat="1" ht="22" customHeight="1">
      <c r="F122" s="4"/>
      <c r="G122" s="4"/>
      <c r="H122" s="4"/>
      <c r="I122" s="4"/>
      <c r="J122" s="5"/>
      <c r="K122" s="5"/>
      <c r="L122" s="5"/>
      <c r="M122" s="5"/>
      <c r="N122" s="5"/>
      <c r="O122" s="4"/>
      <c r="P122" s="4"/>
      <c r="Q122" s="4"/>
      <c r="R122" s="4"/>
      <c r="S122" s="5"/>
      <c r="U122" s="5"/>
      <c r="V122" s="5"/>
    </row>
    <row r="123" spans="1:26" s="1" customFormat="1" ht="22" customHeight="1">
      <c r="A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U123" s="5"/>
      <c r="V123" s="4"/>
    </row>
    <row r="124" spans="1:26" s="4" customFormat="1" ht="22" customHeight="1">
      <c r="A124" s="5"/>
      <c r="B124" s="1"/>
      <c r="C124" s="5"/>
      <c r="D124" s="5"/>
      <c r="E124" s="5"/>
      <c r="F124" s="22"/>
      <c r="G124" s="22"/>
      <c r="H124" s="22"/>
      <c r="I124" s="5"/>
      <c r="O124" s="5"/>
      <c r="P124" s="5"/>
      <c r="Q124" s="5"/>
      <c r="R124" s="5"/>
      <c r="U124" s="1"/>
      <c r="V124" s="5"/>
    </row>
    <row r="125" spans="1:26" s="1" customFormat="1" ht="22" customHeight="1">
      <c r="F125" s="43"/>
      <c r="G125" s="4"/>
      <c r="H125" s="4"/>
      <c r="I125" s="4"/>
      <c r="S125" s="5"/>
      <c r="T125" s="5"/>
      <c r="U125" s="5"/>
      <c r="V125" s="5"/>
      <c r="Z125" s="5"/>
    </row>
    <row r="126" spans="1:26" s="1" customFormat="1" ht="22" customHeight="1">
      <c r="B126" s="7"/>
      <c r="J126" s="5"/>
      <c r="K126" s="5"/>
      <c r="L126" s="5"/>
      <c r="M126" s="5"/>
      <c r="N126" s="5"/>
      <c r="O126" s="5"/>
      <c r="P126" s="5"/>
      <c r="Q126" s="5"/>
      <c r="R126" s="5"/>
      <c r="S126" s="4"/>
      <c r="T126" s="4"/>
      <c r="U126" s="4"/>
      <c r="V126" s="4"/>
      <c r="W126" s="5"/>
    </row>
    <row r="127" spans="1:26" s="1" customFormat="1" ht="22" customHeight="1">
      <c r="B127" s="30"/>
      <c r="C127" s="9"/>
      <c r="D127" s="9"/>
      <c r="E127" s="9"/>
      <c r="F127" s="44"/>
      <c r="G127" s="44"/>
      <c r="H127" s="44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4"/>
      <c r="Y127" s="4"/>
    </row>
    <row r="128" spans="1:26" s="10" customFormat="1" ht="22" customHeight="1">
      <c r="A128" s="45"/>
      <c r="B128" s="7"/>
      <c r="C128" s="1"/>
      <c r="D128" s="1"/>
      <c r="E128" s="1"/>
      <c r="F128" s="5"/>
      <c r="G128" s="5"/>
      <c r="H128" s="5"/>
      <c r="I128" s="5"/>
      <c r="J128" s="1"/>
      <c r="K128" s="1"/>
      <c r="L128" s="1"/>
      <c r="M128" s="1"/>
      <c r="N128" s="1"/>
      <c r="O128" s="1"/>
      <c r="P128" s="1"/>
      <c r="Q128" s="1"/>
      <c r="R128" s="1"/>
      <c r="S128" s="5"/>
      <c r="T128" s="5"/>
      <c r="U128" s="5"/>
      <c r="V128" s="5"/>
      <c r="W128" s="1"/>
      <c r="X128" s="5"/>
      <c r="Y128" s="5"/>
      <c r="Z128" s="1"/>
    </row>
    <row r="129" spans="1:26" s="10" customFormat="1" ht="22" customHeight="1">
      <c r="A129" s="4"/>
      <c r="B129" s="1"/>
      <c r="C129" s="39"/>
      <c r="D129" s="39"/>
      <c r="E129" s="39"/>
      <c r="F129" s="39"/>
      <c r="G129" s="39"/>
      <c r="H129" s="39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5"/>
      <c r="T129" s="5"/>
      <c r="U129" s="5"/>
      <c r="V129" s="5"/>
      <c r="W129" s="1"/>
      <c r="X129" s="5"/>
      <c r="Y129" s="5"/>
      <c r="Z129" s="1"/>
    </row>
    <row r="130" spans="1:26" s="2" customFormat="1" ht="22" customHeight="1">
      <c r="A130" s="30"/>
      <c r="B130" s="1"/>
      <c r="C130" s="46"/>
      <c r="D130" s="46"/>
      <c r="E130" s="46"/>
      <c r="F130" s="46"/>
      <c r="G130" s="46"/>
      <c r="H130" s="46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5"/>
      <c r="T130" s="5"/>
      <c r="U130" s="5"/>
      <c r="V130" s="5"/>
      <c r="W130" s="1"/>
      <c r="X130" s="4"/>
      <c r="Y130" s="4"/>
      <c r="Z130" s="4"/>
    </row>
    <row r="131" spans="1:26" s="2" customFormat="1" ht="22" customHeight="1">
      <c r="A131" s="30"/>
      <c r="B131" s="27"/>
      <c r="C131" s="27"/>
      <c r="D131" s="27"/>
      <c r="E131" s="27"/>
      <c r="F131" s="27"/>
      <c r="G131" s="27"/>
      <c r="H131" s="2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4"/>
      <c r="X131" s="4"/>
      <c r="Y131" s="4"/>
      <c r="Z131" s="4"/>
    </row>
    <row r="132" spans="1:26" s="1" customFormat="1" ht="22" customHeight="1">
      <c r="A132" s="30"/>
      <c r="B132" s="47"/>
      <c r="C132" s="48"/>
      <c r="D132" s="48"/>
      <c r="E132" s="48"/>
      <c r="J132" s="4"/>
      <c r="K132" s="4"/>
      <c r="L132" s="4"/>
      <c r="M132" s="4"/>
      <c r="N132" s="4"/>
      <c r="O132" s="4"/>
      <c r="P132" s="4"/>
      <c r="Q132" s="4"/>
      <c r="R132" s="4"/>
      <c r="X132" s="5"/>
      <c r="Y132" s="5"/>
    </row>
    <row r="133" spans="1:26" s="1" customFormat="1" ht="22" customHeight="1">
      <c r="A133" s="10"/>
      <c r="C133" s="10"/>
      <c r="D133" s="10"/>
      <c r="E133" s="10"/>
      <c r="F133" s="10"/>
      <c r="G133" s="10"/>
      <c r="H133" s="10"/>
      <c r="I133" s="4"/>
      <c r="X133" s="5"/>
      <c r="Y133" s="5"/>
    </row>
    <row r="134" spans="1:26" s="1" customFormat="1" ht="22" customHeight="1">
      <c r="A134" s="10"/>
      <c r="B134" s="27"/>
      <c r="C134" s="27"/>
      <c r="D134" s="27"/>
      <c r="E134" s="27"/>
      <c r="F134" s="27"/>
      <c r="G134" s="27"/>
      <c r="H134" s="27"/>
      <c r="U134" s="4"/>
      <c r="V134" s="4"/>
      <c r="W134" s="4"/>
      <c r="X134" s="4"/>
      <c r="Y134" s="4"/>
      <c r="Z134" s="10"/>
    </row>
    <row r="135" spans="1:26" s="1" customFormat="1" ht="22" customHeight="1">
      <c r="A135" s="2"/>
      <c r="B135" s="34"/>
      <c r="C135" s="2"/>
      <c r="D135" s="2"/>
      <c r="E135" s="2"/>
      <c r="F135" s="2"/>
      <c r="G135" s="2"/>
      <c r="H135" s="2"/>
      <c r="U135" s="5"/>
      <c r="V135" s="5"/>
      <c r="W135" s="5"/>
      <c r="Z135" s="10"/>
    </row>
    <row r="136" spans="1:26" s="1" customFormat="1" ht="22" customHeight="1">
      <c r="A136" s="30"/>
      <c r="B136" s="7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5"/>
      <c r="V136" s="5"/>
      <c r="W136" s="5"/>
      <c r="X136" s="5"/>
      <c r="Y136" s="5"/>
      <c r="Z136" s="2"/>
    </row>
    <row r="137" spans="1:26" s="1" customFormat="1" ht="22" customHeight="1">
      <c r="A137" s="30"/>
      <c r="B137" s="7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4"/>
      <c r="V137" s="4"/>
      <c r="W137" s="4"/>
      <c r="X137" s="5"/>
      <c r="Y137" s="5"/>
    </row>
    <row r="138" spans="1:26" s="1" customFormat="1" ht="18" customHeight="1">
      <c r="A138" s="30"/>
      <c r="B138" s="7"/>
      <c r="F138" s="10"/>
      <c r="G138" s="10"/>
      <c r="H138" s="10"/>
      <c r="I138" s="10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4"/>
      <c r="V138" s="4"/>
      <c r="W138" s="4"/>
    </row>
    <row r="139" spans="1:26" s="1" customFormat="1" ht="22" customHeight="1">
      <c r="A139" s="30"/>
      <c r="I139" s="2"/>
      <c r="U139" s="5"/>
      <c r="V139" s="5"/>
      <c r="W139" s="5"/>
    </row>
    <row r="140" spans="1:26" s="1" customFormat="1" ht="22" customHeight="1">
      <c r="A140" s="30"/>
      <c r="U140" s="5"/>
      <c r="V140" s="5"/>
      <c r="W140" s="5"/>
    </row>
    <row r="141" spans="1:26" ht="22" customHeight="1">
      <c r="A141" s="30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4"/>
      <c r="V141" s="4"/>
      <c r="W141" s="4"/>
      <c r="X141" s="1"/>
      <c r="Y141" s="1"/>
      <c r="Z141" s="1"/>
    </row>
    <row r="142" spans="1:26" ht="22" customHeight="1">
      <c r="A142" s="30"/>
      <c r="B142" s="27"/>
      <c r="C142" s="27"/>
      <c r="D142" s="27"/>
      <c r="E142" s="27"/>
      <c r="F142" s="27"/>
      <c r="G142" s="27"/>
      <c r="H142" s="2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4"/>
      <c r="Y142" s="4"/>
      <c r="Z142" s="1"/>
    </row>
    <row r="143" spans="1:26" ht="22" customHeight="1">
      <c r="A143" s="30"/>
      <c r="C143" s="30"/>
      <c r="D143" s="30"/>
      <c r="E143" s="30"/>
      <c r="F143" s="4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5"/>
      <c r="V143" s="5"/>
      <c r="W143" s="5"/>
      <c r="X143" s="1"/>
      <c r="Y143" s="1"/>
      <c r="Z143" s="1"/>
    </row>
    <row r="144" spans="1:26" ht="22" customHeight="1">
      <c r="A144" s="49"/>
      <c r="B144" s="28"/>
      <c r="C144" s="50"/>
      <c r="D144" s="50"/>
      <c r="E144" s="50"/>
      <c r="F144" s="50"/>
      <c r="G144" s="50"/>
      <c r="H144" s="50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5"/>
      <c r="V144" s="5"/>
      <c r="W144" s="5"/>
      <c r="X144" s="1"/>
      <c r="Y144" s="1"/>
      <c r="Z144" s="1"/>
    </row>
    <row r="145" spans="1:26" ht="22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2" customHeight="1">
      <c r="A146" s="2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0"/>
      <c r="Y146" s="10"/>
      <c r="Z146" s="1"/>
    </row>
    <row r="147" spans="1:26" ht="22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0"/>
      <c r="Y147" s="10"/>
    </row>
    <row r="148" spans="1:26" ht="22" customHeight="1">
      <c r="A148" s="1"/>
      <c r="B148" s="1"/>
      <c r="C148" s="1"/>
      <c r="D148" s="1"/>
      <c r="E148" s="1"/>
      <c r="F148" s="51"/>
      <c r="G148" s="1"/>
      <c r="H148" s="1"/>
      <c r="I148" s="1"/>
      <c r="U148" s="1"/>
      <c r="V148" s="1"/>
      <c r="W148" s="1"/>
      <c r="X148" s="2"/>
      <c r="Y148" s="2"/>
    </row>
    <row r="149" spans="1:26" ht="22" customHeight="1">
      <c r="A149" s="1"/>
      <c r="D149" s="1"/>
      <c r="E149" s="1"/>
      <c r="F149" s="36"/>
      <c r="G149" s="1"/>
      <c r="U149" s="4"/>
      <c r="V149" s="4"/>
      <c r="W149" s="4"/>
      <c r="X149" s="1"/>
      <c r="Y149" s="1"/>
    </row>
    <row r="150" spans="1:26" ht="22" customHeight="1">
      <c r="A150" s="1"/>
      <c r="D150" s="1"/>
      <c r="E150" s="1"/>
      <c r="F150" s="36"/>
      <c r="G150" s="1"/>
      <c r="U150" s="1"/>
      <c r="V150" s="1"/>
      <c r="W150" s="1"/>
      <c r="X150" s="1"/>
      <c r="Y150" s="1"/>
    </row>
    <row r="151" spans="1:26" ht="22" customHeight="1">
      <c r="A151" s="1"/>
      <c r="D151" s="1"/>
      <c r="E151" s="1"/>
      <c r="F151" s="36"/>
      <c r="G151" s="1"/>
      <c r="U151" s="1"/>
      <c r="V151" s="1"/>
      <c r="W151" s="1"/>
      <c r="X151" s="1"/>
      <c r="Y151" s="1"/>
    </row>
    <row r="152" spans="1:26" ht="22" customHeight="1">
      <c r="A152" s="1"/>
      <c r="D152" s="1"/>
      <c r="E152" s="1"/>
      <c r="F152" s="1"/>
      <c r="G152" s="1"/>
      <c r="U152" s="1"/>
      <c r="V152" s="1"/>
      <c r="W152" s="1"/>
      <c r="X152" s="1"/>
      <c r="Y152" s="1"/>
    </row>
    <row r="153" spans="1:26" ht="22" customHeight="1">
      <c r="A153" s="24"/>
      <c r="D153" s="1"/>
      <c r="E153" s="1"/>
      <c r="F153" s="36"/>
      <c r="G153" s="1"/>
      <c r="U153" s="10"/>
      <c r="V153" s="10"/>
      <c r="W153" s="10"/>
      <c r="X153" s="1"/>
      <c r="Y153" s="1"/>
    </row>
    <row r="154" spans="1:26" ht="22" customHeight="1">
      <c r="A154" s="1"/>
      <c r="D154" s="1"/>
      <c r="E154" s="1"/>
      <c r="F154" s="1"/>
      <c r="G154" s="1"/>
      <c r="U154" s="10"/>
      <c r="V154" s="10"/>
      <c r="W154" s="10"/>
      <c r="X154" s="1"/>
      <c r="Y154" s="1"/>
    </row>
    <row r="155" spans="1:26" ht="22" customHeight="1">
      <c r="A155" s="30"/>
      <c r="D155" s="36"/>
      <c r="E155" s="1"/>
      <c r="F155" s="36"/>
      <c r="G155" s="1"/>
      <c r="U155" s="2"/>
      <c r="V155" s="2"/>
      <c r="W155" s="2"/>
      <c r="X155" s="1"/>
      <c r="Y155" s="1"/>
    </row>
    <row r="156" spans="1:26" ht="22" customHeight="1">
      <c r="A156" s="30"/>
      <c r="D156" s="1"/>
      <c r="E156" s="1"/>
      <c r="F156" s="36"/>
      <c r="G156" s="1"/>
      <c r="U156" s="1"/>
      <c r="V156" s="1"/>
      <c r="W156" s="1"/>
      <c r="X156" s="1"/>
      <c r="Y156" s="1"/>
    </row>
    <row r="157" spans="1:26" ht="22" customHeight="1">
      <c r="A157" s="1"/>
      <c r="C157" s="1"/>
      <c r="D157" s="1"/>
      <c r="E157" s="1"/>
      <c r="F157" s="1"/>
      <c r="G157" s="1"/>
      <c r="U157" s="1"/>
      <c r="V157" s="1"/>
      <c r="W157" s="1"/>
      <c r="X157" s="1"/>
      <c r="Y157" s="1"/>
    </row>
    <row r="158" spans="1:26" ht="22" customHeight="1">
      <c r="A158" s="30"/>
      <c r="C158" s="1"/>
      <c r="D158" s="1"/>
      <c r="E158" s="1"/>
      <c r="F158" s="1"/>
      <c r="G158" s="1"/>
      <c r="U158" s="1"/>
      <c r="V158" s="1"/>
      <c r="W158" s="1"/>
    </row>
    <row r="159" spans="1:26" ht="22" customHeight="1">
      <c r="A159" s="30"/>
      <c r="C159" s="1"/>
      <c r="D159" s="1"/>
      <c r="E159" s="1"/>
      <c r="F159" s="1"/>
      <c r="G159" s="1"/>
      <c r="U159" s="1"/>
      <c r="V159" s="1"/>
      <c r="W159" s="1"/>
    </row>
    <row r="160" spans="1:26" ht="22" customHeight="1">
      <c r="A160" s="30"/>
      <c r="C160" s="1"/>
      <c r="D160" s="1"/>
      <c r="E160" s="1"/>
      <c r="F160" s="1"/>
      <c r="U160" s="1"/>
      <c r="V160" s="1"/>
      <c r="W160" s="1"/>
    </row>
    <row r="161" spans="1:8" ht="22" customHeight="1">
      <c r="A161" s="30"/>
      <c r="C161" s="1"/>
      <c r="D161" s="1"/>
      <c r="E161" s="1"/>
      <c r="F161" s="1"/>
    </row>
    <row r="162" spans="1:8" ht="22" customHeight="1">
      <c r="A162" s="30"/>
      <c r="C162" s="1"/>
      <c r="D162" s="1"/>
      <c r="E162" s="1"/>
      <c r="F162" s="36"/>
    </row>
    <row r="163" spans="1:8" ht="22" customHeight="1">
      <c r="A163" s="30"/>
      <c r="C163" s="1"/>
      <c r="D163" s="1"/>
      <c r="E163" s="1"/>
      <c r="F163" s="36"/>
    </row>
    <row r="164" spans="1:8" ht="22" customHeight="1">
      <c r="A164" s="30"/>
      <c r="C164" s="1"/>
      <c r="D164" s="1"/>
      <c r="E164" s="1"/>
      <c r="F164" s="1"/>
    </row>
    <row r="165" spans="1:8" ht="22" customHeight="1">
      <c r="A165" s="30"/>
    </row>
    <row r="166" spans="1:8" ht="22" customHeight="1">
      <c r="A166" s="41"/>
    </row>
    <row r="167" spans="1:8" ht="22" customHeight="1">
      <c r="A167" s="30"/>
    </row>
    <row r="168" spans="1:8" ht="22" customHeight="1">
      <c r="A168" s="30"/>
      <c r="F168" s="52"/>
    </row>
    <row r="169" spans="1:8" ht="22" customHeight="1">
      <c r="A169" s="30"/>
      <c r="F169" s="52"/>
    </row>
    <row r="170" spans="1:8" ht="22" customHeight="1">
      <c r="A170" s="30"/>
      <c r="F170" s="52"/>
    </row>
    <row r="171" spans="1:8" ht="22" customHeight="1">
      <c r="A171" s="1"/>
    </row>
    <row r="172" spans="1:8" ht="22" customHeight="1">
      <c r="A172" s="1"/>
    </row>
    <row r="173" spans="1:8" ht="22" customHeight="1">
      <c r="A173" s="41"/>
    </row>
    <row r="174" spans="1:8" ht="22" customHeight="1">
      <c r="A174" s="30"/>
      <c r="B174" s="1"/>
      <c r="C174" s="1"/>
      <c r="D174" s="1"/>
      <c r="E174" s="1"/>
      <c r="F174" s="1"/>
      <c r="G174" s="1"/>
      <c r="H174" s="1"/>
    </row>
    <row r="175" spans="1:8" ht="22" customHeight="1">
      <c r="A175" s="4"/>
      <c r="B175" s="1"/>
      <c r="C175" s="1"/>
      <c r="D175" s="1"/>
      <c r="E175" s="1"/>
      <c r="F175" s="1"/>
      <c r="G175" s="1"/>
      <c r="H175" s="1"/>
    </row>
    <row r="176" spans="1:8" ht="22" customHeight="1">
      <c r="A176" s="1"/>
      <c r="B176" s="1"/>
      <c r="C176" s="1"/>
      <c r="D176" s="1"/>
      <c r="E176" s="1"/>
      <c r="F176" s="1"/>
      <c r="G176" s="1"/>
      <c r="H176" s="1"/>
    </row>
    <row r="177" spans="1:9" ht="22" customHeight="1">
      <c r="A177" s="4"/>
      <c r="B177" s="1"/>
      <c r="C177" s="1"/>
      <c r="D177" s="1"/>
      <c r="E177" s="1"/>
      <c r="F177" s="1"/>
      <c r="G177" s="1"/>
      <c r="H177" s="1"/>
    </row>
    <row r="178" spans="1:9" ht="22" customHeight="1">
      <c r="A178" s="4"/>
      <c r="B178" s="1"/>
      <c r="C178" s="1"/>
      <c r="D178" s="1"/>
      <c r="E178" s="1"/>
      <c r="F178" s="1"/>
      <c r="G178" s="1"/>
      <c r="H178" s="1"/>
    </row>
    <row r="179" spans="1:9" ht="22" customHeight="1">
      <c r="A179" s="4"/>
      <c r="B179" s="1"/>
      <c r="C179" s="1"/>
      <c r="D179" s="1"/>
      <c r="E179" s="1"/>
      <c r="F179" s="1"/>
      <c r="G179" s="1"/>
      <c r="H179" s="1"/>
    </row>
    <row r="180" spans="1:9" ht="22" customHeight="1">
      <c r="A180" s="1"/>
      <c r="B180" s="1"/>
      <c r="C180" s="1"/>
      <c r="D180" s="1"/>
      <c r="E180" s="1"/>
      <c r="F180" s="1"/>
      <c r="G180" s="1"/>
      <c r="H180" s="1"/>
    </row>
    <row r="181" spans="1:9" ht="22" customHeight="1">
      <c r="A181" s="4"/>
      <c r="B181" s="14"/>
      <c r="C181" s="14"/>
      <c r="D181" s="14"/>
      <c r="E181" s="14"/>
      <c r="F181" s="14"/>
      <c r="G181" s="14"/>
      <c r="H181" s="14"/>
      <c r="I181" s="14"/>
    </row>
    <row r="182" spans="1:9" ht="22" customHeight="1">
      <c r="A182" s="4"/>
      <c r="B182" s="1"/>
      <c r="C182" s="1"/>
      <c r="D182" s="1"/>
      <c r="E182" s="1"/>
      <c r="G182" s="36"/>
      <c r="H182" s="36"/>
      <c r="I182" s="36"/>
    </row>
    <row r="183" spans="1:9" ht="22" customHeight="1">
      <c r="A183" s="4"/>
      <c r="G183" s="1"/>
      <c r="H183" s="1"/>
      <c r="I183" s="1"/>
    </row>
    <row r="184" spans="1:9" ht="22" customHeight="1">
      <c r="A184" s="1"/>
    </row>
    <row r="185" spans="1:9" ht="22" customHeight="1">
      <c r="A185" s="4"/>
      <c r="B185" s="36"/>
    </row>
    <row r="186" spans="1:9" ht="22" customHeight="1">
      <c r="A186" s="4"/>
      <c r="B186" s="35"/>
    </row>
    <row r="187" spans="1:9" ht="22" customHeight="1">
      <c r="A187" s="4"/>
    </row>
    <row r="188" spans="1:9" ht="22" customHeight="1">
      <c r="A188" s="4"/>
      <c r="B188" s="14"/>
    </row>
    <row r="189" spans="1:9" ht="22" customHeight="1">
      <c r="A189" s="4"/>
      <c r="B189" s="1"/>
    </row>
    <row r="190" spans="1:9" ht="22" customHeight="1">
      <c r="A190" s="4"/>
      <c r="B190" s="14"/>
    </row>
    <row r="191" spans="1:9" ht="22" customHeight="1">
      <c r="A191" s="4"/>
      <c r="B191" s="1"/>
    </row>
    <row r="192" spans="1:9" ht="22" customHeight="1">
      <c r="A192" s="4"/>
      <c r="B192" s="14"/>
    </row>
    <row r="193" spans="1:9" ht="22" customHeight="1">
      <c r="A193" s="4"/>
      <c r="B193" s="14"/>
    </row>
    <row r="194" spans="1:9" ht="22" customHeight="1">
      <c r="A194" s="1"/>
    </row>
    <row r="195" spans="1:9" ht="22" customHeight="1">
      <c r="A195" s="1"/>
    </row>
    <row r="196" spans="1:9" ht="22" customHeight="1">
      <c r="A196" s="41"/>
    </row>
    <row r="197" spans="1:9" ht="22" customHeight="1">
      <c r="A197" s="30"/>
      <c r="B197" s="1"/>
      <c r="C197" s="1"/>
      <c r="D197" s="1"/>
      <c r="E197" s="1"/>
      <c r="F197" s="1"/>
      <c r="G197" s="1"/>
      <c r="H197" s="1"/>
      <c r="I197" s="1"/>
    </row>
    <row r="198" spans="1:9" ht="22" customHeight="1">
      <c r="A198" s="30"/>
      <c r="B198" s="26"/>
      <c r="C198" s="26"/>
      <c r="D198" s="26"/>
      <c r="E198" s="26"/>
      <c r="F198" s="26"/>
      <c r="G198" s="26"/>
      <c r="H198" s="26"/>
      <c r="I198" s="1"/>
    </row>
    <row r="199" spans="1:9" ht="22" customHeight="1">
      <c r="A199" s="30"/>
      <c r="B199" s="1"/>
      <c r="C199" s="1"/>
      <c r="D199" s="1"/>
      <c r="E199" s="1"/>
      <c r="F199" s="1"/>
      <c r="G199" s="1"/>
      <c r="H199" s="1"/>
      <c r="I199" s="1"/>
    </row>
    <row r="200" spans="1:9" ht="22" customHeight="1">
      <c r="A200" s="30"/>
      <c r="B200" s="1"/>
      <c r="C200" s="1"/>
      <c r="D200" s="1"/>
      <c r="E200" s="1"/>
      <c r="F200" s="1"/>
      <c r="G200" s="1"/>
      <c r="H200" s="1"/>
      <c r="I200" s="1"/>
    </row>
    <row r="201" spans="1:9" ht="22" customHeight="1">
      <c r="A201" s="30"/>
      <c r="B201" s="1"/>
      <c r="C201" s="1"/>
      <c r="D201" s="1"/>
      <c r="E201" s="1"/>
      <c r="F201" s="1"/>
      <c r="G201" s="1"/>
      <c r="H201" s="1"/>
      <c r="I201" s="1"/>
    </row>
    <row r="202" spans="1:9" ht="22" customHeight="1">
      <c r="A202" s="30"/>
      <c r="B202" s="1"/>
      <c r="C202" s="1"/>
      <c r="D202" s="1"/>
      <c r="E202" s="1"/>
      <c r="F202" s="1"/>
      <c r="G202" s="1"/>
      <c r="H202" s="1"/>
      <c r="I202" s="1"/>
    </row>
    <row r="203" spans="1:9" ht="22" customHeight="1">
      <c r="A203" s="30"/>
      <c r="B203" s="1"/>
      <c r="C203" s="1"/>
      <c r="D203" s="1"/>
      <c r="E203" s="1"/>
      <c r="F203" s="1"/>
      <c r="G203" s="1"/>
      <c r="H203" s="1"/>
      <c r="I203" s="1"/>
    </row>
    <row r="204" spans="1:9" ht="22" customHeight="1">
      <c r="A204" s="30"/>
      <c r="B204" s="36"/>
      <c r="C204" s="36"/>
      <c r="D204" s="36"/>
      <c r="E204" s="36"/>
      <c r="F204" s="36"/>
      <c r="G204" s="36"/>
      <c r="H204" s="36"/>
      <c r="I204" s="1"/>
    </row>
    <row r="205" spans="1:9" ht="22" customHeight="1">
      <c r="A205" s="30"/>
      <c r="B205" s="1"/>
      <c r="C205" s="36"/>
      <c r="D205" s="36"/>
      <c r="E205" s="36"/>
      <c r="F205" s="36"/>
      <c r="G205" s="36"/>
      <c r="H205" s="36"/>
      <c r="I205" s="1"/>
    </row>
    <row r="206" spans="1:9" ht="22" customHeight="1">
      <c r="A206" s="30"/>
      <c r="B206" s="36"/>
      <c r="C206" s="36"/>
      <c r="D206" s="36"/>
      <c r="E206" s="36"/>
      <c r="F206" s="36"/>
      <c r="G206" s="36"/>
      <c r="H206" s="36"/>
      <c r="I206" s="1"/>
    </row>
    <row r="207" spans="1:9" ht="22" customHeight="1">
      <c r="A207" s="30"/>
      <c r="B207" s="51"/>
      <c r="C207" s="51"/>
      <c r="D207" s="51"/>
      <c r="E207" s="51"/>
      <c r="F207" s="51"/>
      <c r="G207" s="51"/>
      <c r="H207" s="51"/>
      <c r="I207" s="1"/>
    </row>
    <row r="208" spans="1:9" ht="22" customHeight="1">
      <c r="A208" s="30"/>
      <c r="B208" s="51"/>
      <c r="C208" s="51"/>
      <c r="D208" s="51"/>
      <c r="E208" s="51"/>
      <c r="F208" s="51"/>
      <c r="G208" s="51"/>
      <c r="H208" s="51"/>
      <c r="I208" s="1"/>
    </row>
    <row r="209" spans="1:9" ht="22" customHeight="1">
      <c r="A209" s="30"/>
      <c r="B209" s="35"/>
      <c r="C209" s="35"/>
      <c r="D209" s="35"/>
      <c r="E209" s="35"/>
      <c r="F209" s="35"/>
      <c r="G209" s="1"/>
      <c r="H209" s="1"/>
      <c r="I209" s="1"/>
    </row>
    <row r="210" spans="1:9" ht="22" customHeight="1">
      <c r="A210" s="30"/>
      <c r="B210" s="38"/>
      <c r="C210" s="38"/>
      <c r="D210" s="38"/>
      <c r="E210" s="38"/>
      <c r="F210" s="38"/>
      <c r="G210" s="38"/>
      <c r="H210" s="38"/>
      <c r="I210" s="1"/>
    </row>
    <row r="211" spans="1:9" ht="22" customHeight="1">
      <c r="A211" s="1"/>
      <c r="B211" s="1"/>
      <c r="C211" s="1"/>
      <c r="D211" s="1"/>
      <c r="E211" s="1"/>
      <c r="F211" s="1"/>
      <c r="G211" s="1"/>
      <c r="H211" s="1"/>
      <c r="I211" s="1"/>
    </row>
    <row r="212" spans="1:9" ht="22" customHeight="1">
      <c r="A212" s="24"/>
      <c r="B212" s="1"/>
      <c r="C212" s="1"/>
      <c r="D212" s="1"/>
      <c r="E212" s="1"/>
      <c r="F212" s="1"/>
      <c r="G212" s="1"/>
      <c r="H212" s="1"/>
      <c r="I212" s="1"/>
    </row>
    <row r="213" spans="1:9" ht="22" customHeight="1">
      <c r="A213" s="1"/>
      <c r="B213" s="1"/>
      <c r="C213" s="1"/>
      <c r="D213" s="1"/>
      <c r="E213" s="1"/>
      <c r="F213" s="1"/>
      <c r="G213" s="1"/>
      <c r="H213" s="1"/>
      <c r="I213" s="1"/>
    </row>
    <row r="214" spans="1:9" ht="22" customHeight="1">
      <c r="A214" s="1"/>
      <c r="B214" s="27"/>
      <c r="C214" s="1"/>
      <c r="D214" s="1"/>
      <c r="E214" s="1"/>
      <c r="F214" s="1"/>
      <c r="G214" s="1"/>
      <c r="H214" s="1"/>
      <c r="I214" s="1"/>
    </row>
    <row r="215" spans="1:9" ht="22" customHeight="1">
      <c r="A215" s="1"/>
      <c r="B215" s="1"/>
      <c r="D215" s="1"/>
      <c r="E215" s="1"/>
      <c r="F215" s="1"/>
      <c r="G215" s="1"/>
      <c r="H215" s="1"/>
      <c r="I215" s="1"/>
    </row>
    <row r="216" spans="1:9" ht="22" customHeight="1">
      <c r="A216" s="1"/>
      <c r="B216" s="1"/>
      <c r="C216" s="1"/>
      <c r="D216" s="1"/>
      <c r="E216" s="1"/>
      <c r="F216" s="1"/>
      <c r="G216" s="1"/>
      <c r="H216" s="1"/>
      <c r="I216" s="1"/>
    </row>
    <row r="217" spans="1:9" ht="22" customHeight="1">
      <c r="A217" s="1"/>
      <c r="B217" s="1"/>
      <c r="C217" s="1"/>
      <c r="D217" s="1"/>
      <c r="E217" s="1"/>
      <c r="F217" s="1"/>
      <c r="G217" s="1"/>
      <c r="H217" s="1"/>
      <c r="I217" s="1"/>
    </row>
    <row r="218" spans="1:9" ht="22" customHeight="1">
      <c r="A218" s="1"/>
      <c r="B218" s="14"/>
      <c r="C218" s="1"/>
      <c r="D218" s="1"/>
      <c r="E218" s="1"/>
      <c r="F218" s="1"/>
      <c r="G218" s="1"/>
      <c r="H218" s="1"/>
      <c r="I218" s="1"/>
    </row>
    <row r="219" spans="1:9" ht="22" customHeight="1">
      <c r="A219" s="1"/>
      <c r="B219" s="1"/>
      <c r="C219" s="1"/>
      <c r="D219" s="1"/>
      <c r="E219" s="1"/>
      <c r="F219" s="1"/>
      <c r="G219" s="1"/>
      <c r="H219" s="1"/>
      <c r="I219" s="1"/>
    </row>
    <row r="220" spans="1:9" ht="22" customHeight="1">
      <c r="A220" s="1"/>
      <c r="B220" s="1"/>
      <c r="C220" s="1"/>
      <c r="D220" s="1"/>
      <c r="E220" s="1"/>
      <c r="F220" s="1"/>
      <c r="G220" s="1"/>
      <c r="H220" s="1"/>
      <c r="I220" s="1"/>
    </row>
    <row r="221" spans="1:9" ht="22" customHeight="1">
      <c r="A221" s="1"/>
      <c r="B221" s="14"/>
      <c r="C221" s="1"/>
      <c r="D221" s="1"/>
      <c r="E221" s="1"/>
      <c r="F221" s="1"/>
      <c r="G221" s="1"/>
      <c r="H221" s="1"/>
      <c r="I221" s="1"/>
    </row>
    <row r="222" spans="1:9" ht="22" customHeight="1">
      <c r="A222" s="1"/>
      <c r="B222" s="14"/>
      <c r="C222" s="1"/>
      <c r="D222" s="1"/>
      <c r="E222" s="1"/>
      <c r="F222" s="1"/>
      <c r="G222" s="1"/>
      <c r="H222" s="1"/>
      <c r="I222" s="1"/>
    </row>
    <row r="223" spans="1:9" ht="22" customHeight="1">
      <c r="A223" s="1"/>
      <c r="B223" s="1"/>
      <c r="C223" s="1"/>
      <c r="D223" s="1"/>
      <c r="E223" s="1"/>
      <c r="F223" s="1"/>
      <c r="G223" s="1"/>
      <c r="H223" s="1"/>
      <c r="I223" s="1"/>
    </row>
  </sheetData>
  <phoneticPr fontId="21" type="noConversion"/>
  <pageMargins left="0.75" right="0.75" top="1" bottom="1" header="0.5" footer="0.5"/>
  <pageSetup scale="40" orientation="landscape" horizontalDpi="4294967292" verticalDpi="4294967292"/>
  <headerFooter alignWithMargins="0"/>
  <ignoredErrors>
    <ignoredError sqref="D16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064A2-B216-514C-8B33-1097CD946C4B}">
  <dimension ref="A1:N40"/>
  <sheetViews>
    <sheetView zoomScale="93" zoomScaleNormal="93" workbookViewId="0">
      <selection activeCell="E59" sqref="E59"/>
    </sheetView>
  </sheetViews>
  <sheetFormatPr baseColWidth="10" defaultRowHeight="13"/>
  <cols>
    <col min="1" max="1" width="17" customWidth="1"/>
    <col min="2" max="2" width="37" customWidth="1"/>
    <col min="3" max="10" width="11.83203125" bestFit="1" customWidth="1"/>
    <col min="12" max="12" width="12.5" customWidth="1"/>
    <col min="13" max="13" width="14.1640625" customWidth="1"/>
    <col min="15" max="15" width="17.33203125" customWidth="1"/>
  </cols>
  <sheetData>
    <row r="1" spans="1:14" ht="16" customHeight="1">
      <c r="A1" s="30" t="s">
        <v>0</v>
      </c>
    </row>
    <row r="4" spans="1:14" ht="18">
      <c r="B4" s="209" t="s">
        <v>162</v>
      </c>
      <c r="C4" s="209">
        <v>2020</v>
      </c>
      <c r="D4" s="209">
        <v>2021</v>
      </c>
      <c r="E4" s="209">
        <v>2022</v>
      </c>
      <c r="F4" s="209">
        <v>2023</v>
      </c>
      <c r="G4" s="209">
        <v>2024</v>
      </c>
      <c r="H4" s="209">
        <v>2025</v>
      </c>
      <c r="I4" s="209">
        <v>2026</v>
      </c>
      <c r="J4" s="209">
        <v>2027</v>
      </c>
      <c r="K4" s="209">
        <v>2028</v>
      </c>
      <c r="L4" s="209">
        <v>2029</v>
      </c>
      <c r="M4" s="209">
        <v>2030</v>
      </c>
      <c r="N4" s="209">
        <v>2031</v>
      </c>
    </row>
    <row r="5" spans="1:14" ht="18">
      <c r="B5" s="140" t="s">
        <v>178</v>
      </c>
      <c r="C5" s="141">
        <f>'Base MGM IS'!B5</f>
        <v>2131.1672680000001</v>
      </c>
      <c r="D5" s="141">
        <f>'Base MGM IS'!C5</f>
        <v>4597.9596160000001</v>
      </c>
      <c r="E5" s="141">
        <f>'Base MGM IS'!D5</f>
        <v>8126.7461031500006</v>
      </c>
      <c r="F5" s="141">
        <f>'Base MGM IS'!E5</f>
        <v>8767.29131495</v>
      </c>
      <c r="G5" s="141">
        <f>'Base MGM IS'!F5</f>
        <v>8785.4199584999988</v>
      </c>
      <c r="H5" s="141">
        <f>'Base MGM IS'!G5</f>
        <v>8405.3474000000006</v>
      </c>
      <c r="I5" s="141">
        <f>'Base MGM IS'!H5</f>
        <v>8371.5237004972951</v>
      </c>
      <c r="J5" s="141">
        <f>'Base MGM IS'!I5</f>
        <v>8649.8910660072397</v>
      </c>
      <c r="K5" s="141">
        <f>'Base MGM IS'!J5</f>
        <v>8909.4196626973862</v>
      </c>
      <c r="L5" s="141">
        <f>'Base MGM IS'!K5</f>
        <v>9221.9470847132579</v>
      </c>
      <c r="M5" s="141">
        <f>'Base MGM IS'!L5</f>
        <v>9499.7516513970622</v>
      </c>
      <c r="N5" s="141">
        <f>'Base MGM IS'!M5</f>
        <v>9786.3801062891744</v>
      </c>
    </row>
    <row r="6" spans="1:14" ht="18">
      <c r="B6" s="140" t="s">
        <v>164</v>
      </c>
      <c r="C6" s="141">
        <f>'Base MGM IS'!B6</f>
        <v>1967.1709999999998</v>
      </c>
      <c r="D6" s="141">
        <f>'Base MGM IS'!C6</f>
        <v>3305.433</v>
      </c>
      <c r="E6" s="141">
        <f>'Base MGM IS'!D6</f>
        <v>3670.9100000000003</v>
      </c>
      <c r="F6" s="141">
        <f>'Base MGM IS'!E6</f>
        <v>3670.3089999999997</v>
      </c>
      <c r="G6" s="141">
        <f>'Base MGM IS'!F6</f>
        <v>3720.3219999999997</v>
      </c>
      <c r="H6" s="141">
        <f>'Base MGM IS'!G6</f>
        <v>3772.3329999999996</v>
      </c>
      <c r="I6" s="141">
        <f>'Base MGM IS'!H6</f>
        <v>3746.8781999999997</v>
      </c>
      <c r="J6" s="141">
        <f>'Base MGM IS'!I6</f>
        <v>3931.1998669999998</v>
      </c>
      <c r="K6" s="141">
        <f>'Base MGM IS'!J6</f>
        <v>4049.1358630099999</v>
      </c>
      <c r="L6" s="141">
        <f>'Base MGM IS'!K6</f>
        <v>4170.6099389003002</v>
      </c>
      <c r="M6" s="141">
        <f>'Base MGM IS'!L6</f>
        <v>4295.7282370673092</v>
      </c>
      <c r="N6" s="141">
        <f>'Base MGM IS'!M6</f>
        <v>4424.6000841793284</v>
      </c>
    </row>
    <row r="7" spans="1:14" ht="18">
      <c r="B7" s="140" t="s">
        <v>165</v>
      </c>
      <c r="C7" s="141">
        <f>'Base MGM IS'!B7</f>
        <v>656.70300000000009</v>
      </c>
      <c r="D7" s="141">
        <f>'Base MGM IS'!C7</f>
        <v>1210.761</v>
      </c>
      <c r="E7" s="141">
        <f>'Base MGM IS'!D7</f>
        <v>673.59299999999996</v>
      </c>
      <c r="F7" s="141">
        <f>'Base MGM IS'!E7</f>
        <v>3153.6089999999999</v>
      </c>
      <c r="G7" s="141">
        <f>'Base MGM IS'!F7</f>
        <v>4022.3839999999996</v>
      </c>
      <c r="H7" s="141">
        <f>'Base MGM IS'!G7</f>
        <v>4461.7429999999995</v>
      </c>
      <c r="I7" s="141">
        <f>'Base MGM IS'!H7</f>
        <v>4268.2451249999995</v>
      </c>
      <c r="J7" s="141">
        <f>'Base MGM IS'!I7</f>
        <v>4705.3844302499983</v>
      </c>
      <c r="K7" s="141">
        <f>'Base MGM IS'!J7</f>
        <v>4940.6536517624991</v>
      </c>
      <c r="L7" s="141">
        <f>'Base MGM IS'!K7</f>
        <v>5187.6863343506247</v>
      </c>
      <c r="M7" s="141">
        <f>'Base MGM IS'!L7</f>
        <v>5447.0706510681557</v>
      </c>
      <c r="N7" s="141">
        <f>'Base MGM IS'!M7</f>
        <v>5719.4241836215642</v>
      </c>
    </row>
    <row r="8" spans="1:14" ht="18">
      <c r="B8" s="140" t="s">
        <v>123</v>
      </c>
      <c r="C8" s="141">
        <f>'Base MGM IS'!B8</f>
        <v>0</v>
      </c>
      <c r="D8" s="141">
        <f>'Base MGM IS'!C8</f>
        <v>0</v>
      </c>
      <c r="E8" s="141">
        <f>'Base MGM IS'!D8</f>
        <v>0</v>
      </c>
      <c r="F8" s="141">
        <f>'Base MGM IS'!E8</f>
        <v>432.14600000000002</v>
      </c>
      <c r="G8" s="141">
        <f>'Base MGM IS'!F8</f>
        <v>552.01199999999994</v>
      </c>
      <c r="H8" s="141">
        <f>'Base MGM IS'!G8</f>
        <v>654.19000000000005</v>
      </c>
      <c r="I8" s="141">
        <f>'Base MGM IS'!H8</f>
        <v>729.42185000000006</v>
      </c>
      <c r="J8" s="141">
        <f>'Base MGM IS'!I8</f>
        <v>813.30536275000009</v>
      </c>
      <c r="K8" s="141">
        <f>'Base MGM IS'!J8</f>
        <v>906.83547946625004</v>
      </c>
      <c r="L8" s="141">
        <f>'Base MGM IS'!K8</f>
        <v>1011.1215596048688</v>
      </c>
      <c r="M8" s="141">
        <f>'Base MGM IS'!L8</f>
        <v>1127.4005389594288</v>
      </c>
      <c r="N8" s="141">
        <f>'Base MGM IS'!M8</f>
        <v>1257.0516009397631</v>
      </c>
    </row>
    <row r="9" spans="1:14" ht="18">
      <c r="B9" s="140" t="s">
        <v>5</v>
      </c>
      <c r="C9" s="141">
        <f>SUM(C5:C8)</f>
        <v>4755.0412679999999</v>
      </c>
      <c r="D9" s="141">
        <f t="shared" ref="D9:N9" si="0">SUM(D5:D8)</f>
        <v>9114.1536159999996</v>
      </c>
      <c r="E9" s="141">
        <f t="shared" si="0"/>
        <v>12471.249103150001</v>
      </c>
      <c r="F9" s="141">
        <f t="shared" si="0"/>
        <v>16023.35531495</v>
      </c>
      <c r="G9" s="141">
        <f t="shared" si="0"/>
        <v>17080.137958499996</v>
      </c>
      <c r="H9" s="141">
        <f t="shared" si="0"/>
        <v>17293.613399999998</v>
      </c>
      <c r="I9" s="141">
        <f t="shared" si="0"/>
        <v>17116.068875497294</v>
      </c>
      <c r="J9" s="141">
        <f t="shared" si="0"/>
        <v>18099.78072600724</v>
      </c>
      <c r="K9" s="141">
        <f t="shared" si="0"/>
        <v>18806.044656936137</v>
      </c>
      <c r="L9" s="141">
        <f t="shared" si="0"/>
        <v>19591.364917569048</v>
      </c>
      <c r="M9" s="141">
        <f t="shared" si="0"/>
        <v>20369.951078491955</v>
      </c>
      <c r="N9" s="141">
        <f t="shared" si="0"/>
        <v>21187.455975029829</v>
      </c>
    </row>
    <row r="10" spans="1:14" ht="18">
      <c r="B10" s="140" t="s">
        <v>45</v>
      </c>
      <c r="C10" s="141">
        <f>'Base MGM IS'!B29</f>
        <v>671.66299999999978</v>
      </c>
      <c r="D10" s="141">
        <f>'Base MGM IS'!C29</f>
        <v>1935.309</v>
      </c>
      <c r="E10" s="141">
        <f>'Base MGM IS'!D29</f>
        <v>3851.4192379059568</v>
      </c>
      <c r="F10" s="141">
        <f>'Base MGM IS'!E29</f>
        <v>2306.498</v>
      </c>
      <c r="G10" s="141">
        <f>'Base MGM IS'!F29</f>
        <v>2321.9409999999998</v>
      </c>
      <c r="H10" s="141">
        <f>'Base MGM IS'!G29</f>
        <v>2391.5819999999994</v>
      </c>
      <c r="I10" s="141">
        <f>'Base MGM IS'!H29</f>
        <v>2317.9758344614597</v>
      </c>
      <c r="J10" s="141">
        <f>'Base MGM IS'!I29</f>
        <v>2514.2053139172067</v>
      </c>
      <c r="K10" s="141">
        <f>'Base MGM IS'!J29</f>
        <v>2647.3370703036571</v>
      </c>
      <c r="L10" s="141">
        <f>'Base MGM IS'!K29</f>
        <v>2800.0996783656019</v>
      </c>
      <c r="M10" s="141">
        <f>'Base MGM IS'!L29</f>
        <v>2987.5444221861089</v>
      </c>
      <c r="N10" s="141">
        <f>'Base MGM IS'!M29</f>
        <v>3131.8568505456597</v>
      </c>
    </row>
    <row r="11" spans="1:14" ht="18">
      <c r="B11" s="140" t="s">
        <v>42</v>
      </c>
      <c r="C11" s="141">
        <f>'Base MGM IS'!B18</f>
        <v>-538.89300000000026</v>
      </c>
      <c r="D11" s="141">
        <f>'Base MGM IS'!C18</f>
        <v>784.69900000000007</v>
      </c>
      <c r="E11" s="141">
        <f>'Base MGM IS'!D18</f>
        <v>369.36923790595642</v>
      </c>
      <c r="F11" s="141">
        <f>'Base MGM IS'!E18</f>
        <v>1492.37</v>
      </c>
      <c r="G11" s="141">
        <f>'Base MGM IS'!F18</f>
        <v>1490.8440000000001</v>
      </c>
      <c r="H11" s="141">
        <f>'Base MGM IS'!G18</f>
        <v>1373.7879999999996</v>
      </c>
      <c r="I11" s="141">
        <f>'Base MGM IS'!H18</f>
        <v>1315.643564782632</v>
      </c>
      <c r="J11" s="141">
        <f>'Base MGM IS'!I18</f>
        <v>1456.8326824911055</v>
      </c>
      <c r="K11" s="141">
        <f>'Base MGM IS'!J18</f>
        <v>1552.4849671007428</v>
      </c>
      <c r="L11" s="141">
        <f>'Base MGM IS'!K18</f>
        <v>1663.5903322379118</v>
      </c>
      <c r="M11" s="141">
        <f>'Base MGM IS'!L18</f>
        <v>1810.5233191692237</v>
      </c>
      <c r="N11" s="141">
        <f>'Base MGM IS'!M18</f>
        <v>1912.7613625660329</v>
      </c>
    </row>
    <row r="12" spans="1:14" ht="18">
      <c r="B12" s="140" t="s">
        <v>8</v>
      </c>
      <c r="C12" s="141">
        <f>'Base MGM IS'!B26</f>
        <v>-929.18300000000045</v>
      </c>
      <c r="D12" s="141">
        <f>'Base MGM IS'!C26</f>
        <v>-239.62999999999988</v>
      </c>
      <c r="E12" s="141">
        <f>'Base MGM IS'!D26</f>
        <v>403.09023790595654</v>
      </c>
      <c r="F12" s="141">
        <f>'Base MGM IS'!E26</f>
        <v>743.05299999999977</v>
      </c>
      <c r="G12" s="141">
        <f>'Base MGM IS'!F26</f>
        <v>746.94600000000014</v>
      </c>
      <c r="H12" s="141">
        <f>'Base MGM IS'!G26</f>
        <v>577.86999999999955</v>
      </c>
      <c r="I12" s="141">
        <f>'Base MGM IS'!H26</f>
        <v>874.78856478263197</v>
      </c>
      <c r="J12" s="141">
        <f>'Base MGM IS'!I26</f>
        <v>1015.9776824911055</v>
      </c>
      <c r="K12" s="141">
        <f>'Base MGM IS'!J26</f>
        <v>1111.6299671007428</v>
      </c>
      <c r="L12" s="141">
        <f>'Base MGM IS'!K26</f>
        <v>1222.7353322379117</v>
      </c>
      <c r="M12" s="141">
        <f>'Base MGM IS'!L26</f>
        <v>1369.6683191692237</v>
      </c>
      <c r="N12" s="141">
        <f>'Base MGM IS'!M26</f>
        <v>1471.9063625660328</v>
      </c>
    </row>
    <row r="13" spans="1:14" ht="18">
      <c r="B13" s="142"/>
      <c r="C13" s="142"/>
      <c r="D13" s="142"/>
      <c r="E13" s="142"/>
      <c r="F13" s="142"/>
      <c r="G13" s="142"/>
      <c r="H13" s="142"/>
      <c r="I13" s="142"/>
      <c r="J13" s="142"/>
    </row>
    <row r="14" spans="1:14" ht="18">
      <c r="B14" s="209" t="s">
        <v>43</v>
      </c>
      <c r="C14" s="209">
        <v>2020</v>
      </c>
      <c r="D14" s="209">
        <v>2021</v>
      </c>
      <c r="E14" s="209">
        <v>2022</v>
      </c>
      <c r="F14" s="209">
        <v>2023</v>
      </c>
      <c r="G14" s="209">
        <v>2024</v>
      </c>
      <c r="H14" s="209">
        <v>2025</v>
      </c>
      <c r="I14" s="209">
        <v>2026</v>
      </c>
      <c r="J14" s="209">
        <v>2027</v>
      </c>
      <c r="K14" s="209">
        <v>2028</v>
      </c>
      <c r="L14" s="209">
        <v>2029</v>
      </c>
      <c r="M14" s="209">
        <v>2030</v>
      </c>
      <c r="N14" s="209">
        <v>2031</v>
      </c>
    </row>
    <row r="15" spans="1:14" ht="18">
      <c r="B15" s="140" t="s">
        <v>179</v>
      </c>
      <c r="C15" s="143">
        <f>C5/C9</f>
        <v>0.44819111925318417</v>
      </c>
      <c r="D15" s="143">
        <f t="shared" ref="D15:N15" si="1">D5/D9</f>
        <v>0.50448563955826131</v>
      </c>
      <c r="E15" s="143">
        <f t="shared" si="1"/>
        <v>0.65163850356395647</v>
      </c>
      <c r="F15" s="143">
        <f t="shared" si="1"/>
        <v>0.54715701815399442</v>
      </c>
      <c r="G15" s="143">
        <f t="shared" si="1"/>
        <v>0.51436469540504504</v>
      </c>
      <c r="H15" s="143">
        <f t="shared" si="1"/>
        <v>0.48603766058514997</v>
      </c>
      <c r="I15" s="143">
        <f t="shared" si="1"/>
        <v>0.48910317908814016</v>
      </c>
      <c r="J15" s="143">
        <f t="shared" si="1"/>
        <v>0.47790032359775336</v>
      </c>
      <c r="K15" s="143">
        <f t="shared" si="1"/>
        <v>0.47375297811022532</v>
      </c>
      <c r="L15" s="143">
        <f t="shared" si="1"/>
        <v>0.47071488502790559</v>
      </c>
      <c r="M15" s="143">
        <f t="shared" si="1"/>
        <v>0.46636104400994743</v>
      </c>
      <c r="N15" s="143">
        <f t="shared" si="1"/>
        <v>0.4618950060744797</v>
      </c>
    </row>
    <row r="16" spans="1:14" ht="18">
      <c r="B16" s="140" t="s">
        <v>115</v>
      </c>
      <c r="C16" s="143">
        <f>C6/C9</f>
        <v>0.41370219292069449</v>
      </c>
      <c r="D16" s="143">
        <f t="shared" ref="D16:N16" si="2">D6/D9</f>
        <v>0.36267031907354241</v>
      </c>
      <c r="E16" s="143">
        <f t="shared" si="2"/>
        <v>0.29434982571816304</v>
      </c>
      <c r="F16" s="143">
        <f t="shared" si="2"/>
        <v>0.22905995204235116</v>
      </c>
      <c r="G16" s="143">
        <f t="shared" si="2"/>
        <v>0.21781568796688597</v>
      </c>
      <c r="H16" s="143">
        <f t="shared" si="2"/>
        <v>0.21813445881703358</v>
      </c>
      <c r="I16" s="143">
        <f t="shared" si="2"/>
        <v>0.21890997443717269</v>
      </c>
      <c r="J16" s="143">
        <f t="shared" si="2"/>
        <v>0.21719599405706233</v>
      </c>
      <c r="K16" s="143">
        <f t="shared" si="2"/>
        <v>0.21531033967403548</v>
      </c>
      <c r="L16" s="143">
        <f t="shared" si="2"/>
        <v>0.2128800089451757</v>
      </c>
      <c r="M16" s="143">
        <f t="shared" si="2"/>
        <v>0.21088554511076096</v>
      </c>
      <c r="N16" s="143">
        <f t="shared" si="2"/>
        <v>0.20883111636403526</v>
      </c>
    </row>
    <row r="17" spans="2:14" ht="18">
      <c r="B17" s="140" t="s">
        <v>117</v>
      </c>
      <c r="C17" s="143">
        <f>C7/C9</f>
        <v>0.13810668782612132</v>
      </c>
      <c r="D17" s="143">
        <f t="shared" ref="D17:N17" si="3">D7/D9</f>
        <v>0.1328440413681963</v>
      </c>
      <c r="E17" s="143">
        <f t="shared" si="3"/>
        <v>5.4011670717880468E-2</v>
      </c>
      <c r="F17" s="143">
        <f t="shared" si="3"/>
        <v>0.19681327275178387</v>
      </c>
      <c r="G17" s="143">
        <f t="shared" si="3"/>
        <v>0.23550067392741666</v>
      </c>
      <c r="H17" s="143">
        <f t="shared" si="3"/>
        <v>0.25799946470412016</v>
      </c>
      <c r="I17" s="143">
        <f t="shared" si="3"/>
        <v>0.24937064439546952</v>
      </c>
      <c r="J17" s="143">
        <f t="shared" si="3"/>
        <v>0.25996914003985244</v>
      </c>
      <c r="K17" s="143">
        <f t="shared" si="3"/>
        <v>0.26271625649576785</v>
      </c>
      <c r="L17" s="143">
        <f t="shared" si="3"/>
        <v>0.26479453351912385</v>
      </c>
      <c r="M17" s="143">
        <f t="shared" si="3"/>
        <v>0.26740715429697626</v>
      </c>
      <c r="N17" s="143">
        <f t="shared" si="3"/>
        <v>0.26994388521029183</v>
      </c>
    </row>
    <row r="18" spans="2:14" ht="18">
      <c r="B18" s="140" t="s">
        <v>180</v>
      </c>
      <c r="C18" s="143">
        <f>C8/C9</f>
        <v>0</v>
      </c>
      <c r="D18" s="143">
        <f t="shared" ref="D18:N18" si="4">D8/D9</f>
        <v>0</v>
      </c>
      <c r="E18" s="143">
        <f t="shared" si="4"/>
        <v>0</v>
      </c>
      <c r="F18" s="143">
        <f t="shared" si="4"/>
        <v>2.6969757051870536E-2</v>
      </c>
      <c r="G18" s="143">
        <f t="shared" si="4"/>
        <v>3.2318942700652428E-2</v>
      </c>
      <c r="H18" s="143">
        <f t="shared" si="4"/>
        <v>3.7828415893696343E-2</v>
      </c>
      <c r="I18" s="143">
        <f t="shared" si="4"/>
        <v>4.2616202079217638E-2</v>
      </c>
      <c r="J18" s="143">
        <f t="shared" si="4"/>
        <v>4.4934542305331726E-2</v>
      </c>
      <c r="K18" s="143">
        <f t="shared" si="4"/>
        <v>4.8220425719971184E-2</v>
      </c>
      <c r="L18" s="143">
        <f t="shared" si="4"/>
        <v>5.1610572507795015E-2</v>
      </c>
      <c r="M18" s="143">
        <f t="shared" si="4"/>
        <v>5.5346256582315435E-2</v>
      </c>
      <c r="N18" s="143">
        <f t="shared" si="4"/>
        <v>5.9329992351193232E-2</v>
      </c>
    </row>
    <row r="19" spans="2:14" ht="18">
      <c r="B19" s="140" t="s">
        <v>12</v>
      </c>
      <c r="C19" s="143">
        <f>C10/C9</f>
        <v>0.14125282245605103</v>
      </c>
      <c r="D19" s="143">
        <f t="shared" ref="D19:N19" si="5">D10/D9</f>
        <v>0.21234105563050235</v>
      </c>
      <c r="E19" s="143">
        <f t="shared" si="5"/>
        <v>0.308823856058906</v>
      </c>
      <c r="F19" s="143">
        <f t="shared" si="5"/>
        <v>0.14394600598090759</v>
      </c>
      <c r="G19" s="143">
        <f t="shared" si="5"/>
        <v>0.13594392537353464</v>
      </c>
      <c r="H19" s="143">
        <f t="shared" si="5"/>
        <v>0.13829278732459693</v>
      </c>
      <c r="I19" s="143">
        <f t="shared" si="5"/>
        <v>0.1354268816819138</v>
      </c>
      <c r="J19" s="143">
        <f t="shared" si="5"/>
        <v>0.1389080537481093</v>
      </c>
      <c r="K19" s="143">
        <f t="shared" si="5"/>
        <v>0.14077054046169424</v>
      </c>
      <c r="L19" s="143">
        <f t="shared" si="5"/>
        <v>0.14292519638866724</v>
      </c>
      <c r="M19" s="143">
        <f t="shared" si="5"/>
        <v>0.1466642904872055</v>
      </c>
      <c r="N19" s="143">
        <f t="shared" si="5"/>
        <v>0.14781655967741783</v>
      </c>
    </row>
    <row r="20" spans="2:14" ht="18">
      <c r="B20" s="140" t="s">
        <v>46</v>
      </c>
      <c r="C20" s="143">
        <f>C11/C9</f>
        <v>-0.11333087761542436</v>
      </c>
      <c r="D20" s="143">
        <f t="shared" ref="D20:N20" si="6">D11/D9</f>
        <v>8.6096749414279361E-2</v>
      </c>
      <c r="E20" s="143">
        <f t="shared" si="6"/>
        <v>2.9617661779577538E-2</v>
      </c>
      <c r="F20" s="143">
        <f t="shared" si="6"/>
        <v>9.3137172000897911E-2</v>
      </c>
      <c r="G20" s="143">
        <f t="shared" si="6"/>
        <v>8.7285243457771708E-2</v>
      </c>
      <c r="H20" s="143">
        <f t="shared" si="6"/>
        <v>7.9439037303794452E-2</v>
      </c>
      <c r="I20" s="143">
        <f t="shared" si="6"/>
        <v>7.686598916799503E-2</v>
      </c>
      <c r="J20" s="143">
        <f t="shared" si="6"/>
        <v>8.0488968598266472E-2</v>
      </c>
      <c r="K20" s="143">
        <f t="shared" si="6"/>
        <v>8.2552444994229437E-2</v>
      </c>
      <c r="L20" s="143">
        <f t="shared" si="6"/>
        <v>8.4914468146425337E-2</v>
      </c>
      <c r="M20" s="143">
        <f t="shared" si="6"/>
        <v>8.8882065165139412E-2</v>
      </c>
      <c r="N20" s="143">
        <f t="shared" si="6"/>
        <v>9.0278010008388462E-2</v>
      </c>
    </row>
    <row r="21" spans="2:14" ht="18">
      <c r="B21" s="140" t="s">
        <v>8</v>
      </c>
      <c r="C21" s="143">
        <f>C12/C9</f>
        <v>-0.19541008113917394</v>
      </c>
      <c r="D21" s="143">
        <f t="shared" ref="D21:N21" si="7">D12/D9</f>
        <v>-2.6292073855253735E-2</v>
      </c>
      <c r="E21" s="143">
        <f t="shared" si="7"/>
        <v>3.2321560941649667E-2</v>
      </c>
      <c r="F21" s="143">
        <f t="shared" si="7"/>
        <v>4.6373121321644888E-2</v>
      </c>
      <c r="G21" s="143">
        <f t="shared" si="7"/>
        <v>4.373184817446276E-2</v>
      </c>
      <c r="H21" s="143">
        <f t="shared" si="7"/>
        <v>3.3415225993198135E-2</v>
      </c>
      <c r="I21" s="143">
        <f t="shared" si="7"/>
        <v>5.1109198680249858E-2</v>
      </c>
      <c r="J21" s="143">
        <f t="shared" si="7"/>
        <v>5.6132043689969456E-2</v>
      </c>
      <c r="K21" s="143">
        <f t="shared" si="7"/>
        <v>5.9110248187714792E-2</v>
      </c>
      <c r="L21" s="143">
        <f t="shared" si="7"/>
        <v>6.2411952275024656E-2</v>
      </c>
      <c r="M21" s="143">
        <f t="shared" si="7"/>
        <v>6.723964696289414E-2</v>
      </c>
      <c r="N21" s="143">
        <f t="shared" si="7"/>
        <v>6.947065113908564E-2</v>
      </c>
    </row>
    <row r="22" spans="2:14" ht="18">
      <c r="B22" s="142"/>
      <c r="C22" s="142"/>
      <c r="D22" s="142"/>
      <c r="E22" s="142"/>
      <c r="F22" s="142"/>
      <c r="G22" s="142"/>
      <c r="H22" s="142"/>
      <c r="I22" s="142"/>
      <c r="J22" s="142"/>
    </row>
    <row r="23" spans="2:14" ht="18">
      <c r="B23" s="209" t="s">
        <v>186</v>
      </c>
      <c r="C23" s="209">
        <v>2020</v>
      </c>
      <c r="D23" s="209">
        <v>2021</v>
      </c>
      <c r="E23" s="209">
        <v>2022</v>
      </c>
      <c r="F23" s="209">
        <v>2023</v>
      </c>
      <c r="G23" s="209">
        <v>2024</v>
      </c>
      <c r="H23" s="209">
        <v>2025</v>
      </c>
      <c r="I23" s="209">
        <v>2026</v>
      </c>
      <c r="J23" s="209">
        <v>2027</v>
      </c>
      <c r="K23" s="209">
        <v>2028</v>
      </c>
      <c r="L23" s="209">
        <v>2029</v>
      </c>
      <c r="M23" s="209">
        <v>2030</v>
      </c>
      <c r="N23" s="209">
        <v>2031</v>
      </c>
    </row>
    <row r="24" spans="2:14" ht="18">
      <c r="B24" s="144" t="str">
        <f t="shared" ref="B24:C26" si="8">B15</f>
        <v xml:space="preserve">Las Vegas Strip </v>
      </c>
      <c r="C24" s="145">
        <f t="shared" si="8"/>
        <v>0.44819111925318417</v>
      </c>
      <c r="D24" s="145">
        <f t="shared" ref="D24:N24" si="9">D15</f>
        <v>0.50448563955826131</v>
      </c>
      <c r="E24" s="145">
        <f t="shared" si="9"/>
        <v>0.65163850356395647</v>
      </c>
      <c r="F24" s="145">
        <f t="shared" si="9"/>
        <v>0.54715701815399442</v>
      </c>
      <c r="G24" s="145">
        <f t="shared" si="9"/>
        <v>0.51436469540504504</v>
      </c>
      <c r="H24" s="145">
        <f t="shared" si="9"/>
        <v>0.48603766058514997</v>
      </c>
      <c r="I24" s="145">
        <f t="shared" si="9"/>
        <v>0.48910317908814016</v>
      </c>
      <c r="J24" s="145">
        <f t="shared" si="9"/>
        <v>0.47790032359775336</v>
      </c>
      <c r="K24" s="145">
        <f t="shared" si="9"/>
        <v>0.47375297811022532</v>
      </c>
      <c r="L24" s="145">
        <f t="shared" si="9"/>
        <v>0.47071488502790559</v>
      </c>
      <c r="M24" s="145">
        <f t="shared" si="9"/>
        <v>0.46636104400994743</v>
      </c>
      <c r="N24" s="145">
        <f t="shared" si="9"/>
        <v>0.4618950060744797</v>
      </c>
    </row>
    <row r="25" spans="2:14" ht="18">
      <c r="B25" s="144" t="str">
        <f t="shared" si="8"/>
        <v>Regional Operations</v>
      </c>
      <c r="C25" s="145">
        <f t="shared" si="8"/>
        <v>0.41370219292069449</v>
      </c>
      <c r="D25" s="145">
        <f t="shared" ref="D25:N25" si="10">D16</f>
        <v>0.36267031907354241</v>
      </c>
      <c r="E25" s="145">
        <f t="shared" si="10"/>
        <v>0.29434982571816304</v>
      </c>
      <c r="F25" s="145">
        <f t="shared" si="10"/>
        <v>0.22905995204235116</v>
      </c>
      <c r="G25" s="145">
        <f t="shared" si="10"/>
        <v>0.21781568796688597</v>
      </c>
      <c r="H25" s="145">
        <f t="shared" si="10"/>
        <v>0.21813445881703358</v>
      </c>
      <c r="I25" s="145">
        <f t="shared" si="10"/>
        <v>0.21890997443717269</v>
      </c>
      <c r="J25" s="145">
        <f t="shared" si="10"/>
        <v>0.21719599405706233</v>
      </c>
      <c r="K25" s="145">
        <f t="shared" si="10"/>
        <v>0.21531033967403548</v>
      </c>
      <c r="L25" s="145">
        <f t="shared" si="10"/>
        <v>0.2128800089451757</v>
      </c>
      <c r="M25" s="145">
        <f t="shared" si="10"/>
        <v>0.21088554511076096</v>
      </c>
      <c r="N25" s="145">
        <f t="shared" si="10"/>
        <v>0.20883111636403526</v>
      </c>
    </row>
    <row r="26" spans="2:14" ht="18">
      <c r="B26" s="144" t="str">
        <f t="shared" si="8"/>
        <v>MGM China</v>
      </c>
      <c r="C26" s="145">
        <f t="shared" si="8"/>
        <v>0.13810668782612132</v>
      </c>
      <c r="D26" s="145">
        <f t="shared" ref="D26:N26" si="11">D17</f>
        <v>0.1328440413681963</v>
      </c>
      <c r="E26" s="145">
        <f t="shared" si="11"/>
        <v>5.4011670717880468E-2</v>
      </c>
      <c r="F26" s="145">
        <f t="shared" si="11"/>
        <v>0.19681327275178387</v>
      </c>
      <c r="G26" s="145">
        <f t="shared" si="11"/>
        <v>0.23550067392741666</v>
      </c>
      <c r="H26" s="145">
        <f t="shared" si="11"/>
        <v>0.25799946470412016</v>
      </c>
      <c r="I26" s="145">
        <f t="shared" si="11"/>
        <v>0.24937064439546952</v>
      </c>
      <c r="J26" s="145">
        <f t="shared" si="11"/>
        <v>0.25996914003985244</v>
      </c>
      <c r="K26" s="145">
        <f t="shared" si="11"/>
        <v>0.26271625649576785</v>
      </c>
      <c r="L26" s="145">
        <f t="shared" si="11"/>
        <v>0.26479453351912385</v>
      </c>
      <c r="M26" s="145">
        <f t="shared" si="11"/>
        <v>0.26740715429697626</v>
      </c>
      <c r="N26" s="145">
        <f t="shared" si="11"/>
        <v>0.26994388521029183</v>
      </c>
    </row>
    <row r="27" spans="2:14" ht="18">
      <c r="B27" s="144" t="s">
        <v>181</v>
      </c>
      <c r="C27" s="145">
        <f>C18</f>
        <v>0</v>
      </c>
      <c r="D27" s="145">
        <f t="shared" ref="D27:N27" si="12">D18</f>
        <v>0</v>
      </c>
      <c r="E27" s="145">
        <f t="shared" si="12"/>
        <v>0</v>
      </c>
      <c r="F27" s="145">
        <f t="shared" si="12"/>
        <v>2.6969757051870536E-2</v>
      </c>
      <c r="G27" s="145">
        <f t="shared" si="12"/>
        <v>3.2318942700652428E-2</v>
      </c>
      <c r="H27" s="145">
        <f t="shared" si="12"/>
        <v>3.7828415893696343E-2</v>
      </c>
      <c r="I27" s="145">
        <f t="shared" si="12"/>
        <v>4.2616202079217638E-2</v>
      </c>
      <c r="J27" s="145">
        <f t="shared" si="12"/>
        <v>4.4934542305331726E-2</v>
      </c>
      <c r="K27" s="145">
        <f t="shared" si="12"/>
        <v>4.8220425719971184E-2</v>
      </c>
      <c r="L27" s="145">
        <f t="shared" si="12"/>
        <v>5.1610572507795015E-2</v>
      </c>
      <c r="M27" s="145">
        <f t="shared" si="12"/>
        <v>5.5346256582315435E-2</v>
      </c>
      <c r="N27" s="145">
        <f t="shared" si="12"/>
        <v>5.9329992351193232E-2</v>
      </c>
    </row>
    <row r="28" spans="2:14" ht="18">
      <c r="B28" s="142"/>
      <c r="C28" s="142"/>
      <c r="D28" s="142"/>
      <c r="E28" s="142"/>
      <c r="F28" s="142"/>
      <c r="G28" s="142"/>
      <c r="H28" s="142"/>
      <c r="I28" s="142"/>
      <c r="J28" s="142"/>
    </row>
    <row r="29" spans="2:14" ht="18">
      <c r="B29" s="209" t="s">
        <v>62</v>
      </c>
      <c r="C29" s="209">
        <v>2020</v>
      </c>
      <c r="D29" s="209">
        <v>2021</v>
      </c>
      <c r="E29" s="209">
        <v>2022</v>
      </c>
      <c r="F29" s="209">
        <v>2023</v>
      </c>
      <c r="G29" s="209">
        <v>2024</v>
      </c>
      <c r="H29" s="209">
        <v>2025</v>
      </c>
      <c r="I29" s="209">
        <v>2026</v>
      </c>
      <c r="J29" s="209">
        <v>2027</v>
      </c>
      <c r="K29" s="209">
        <v>2028</v>
      </c>
      <c r="L29" s="209">
        <v>2029</v>
      </c>
      <c r="M29" s="209">
        <v>2030</v>
      </c>
      <c r="N29" s="209">
        <v>2031</v>
      </c>
    </row>
    <row r="30" spans="2:14" ht="18">
      <c r="B30" s="144" t="str" cm="1">
        <f t="array" ref="B30:B32">B19:B21</f>
        <v>EBITDA Margin</v>
      </c>
      <c r="C30" s="145">
        <f>C19</f>
        <v>0.14125282245605103</v>
      </c>
      <c r="D30" s="145">
        <f t="shared" ref="D30:N30" si="13">D19</f>
        <v>0.21234105563050235</v>
      </c>
      <c r="E30" s="145">
        <f t="shared" si="13"/>
        <v>0.308823856058906</v>
      </c>
      <c r="F30" s="145">
        <f t="shared" si="13"/>
        <v>0.14394600598090759</v>
      </c>
      <c r="G30" s="145">
        <f t="shared" si="13"/>
        <v>0.13594392537353464</v>
      </c>
      <c r="H30" s="145">
        <f t="shared" si="13"/>
        <v>0.13829278732459693</v>
      </c>
      <c r="I30" s="145">
        <f t="shared" si="13"/>
        <v>0.1354268816819138</v>
      </c>
      <c r="J30" s="145">
        <f t="shared" si="13"/>
        <v>0.1389080537481093</v>
      </c>
      <c r="K30" s="145">
        <f t="shared" si="13"/>
        <v>0.14077054046169424</v>
      </c>
      <c r="L30" s="145">
        <f t="shared" si="13"/>
        <v>0.14292519638866724</v>
      </c>
      <c r="M30" s="145">
        <f t="shared" si="13"/>
        <v>0.1466642904872055</v>
      </c>
      <c r="N30" s="145">
        <f t="shared" si="13"/>
        <v>0.14781655967741783</v>
      </c>
    </row>
    <row r="31" spans="2:14" ht="18">
      <c r="B31" s="144" t="str">
        <v>EBIT Margin</v>
      </c>
      <c r="C31" s="145">
        <f>C20</f>
        <v>-0.11333087761542436</v>
      </c>
      <c r="D31" s="145">
        <f t="shared" ref="D31:N31" si="14">D20</f>
        <v>8.6096749414279361E-2</v>
      </c>
      <c r="E31" s="145">
        <f t="shared" si="14"/>
        <v>2.9617661779577538E-2</v>
      </c>
      <c r="F31" s="145">
        <f t="shared" si="14"/>
        <v>9.3137172000897911E-2</v>
      </c>
      <c r="G31" s="145">
        <f t="shared" si="14"/>
        <v>8.7285243457771708E-2</v>
      </c>
      <c r="H31" s="145">
        <f t="shared" si="14"/>
        <v>7.9439037303794452E-2</v>
      </c>
      <c r="I31" s="145">
        <f t="shared" si="14"/>
        <v>7.686598916799503E-2</v>
      </c>
      <c r="J31" s="145">
        <f t="shared" si="14"/>
        <v>8.0488968598266472E-2</v>
      </c>
      <c r="K31" s="145">
        <f t="shared" si="14"/>
        <v>8.2552444994229437E-2</v>
      </c>
      <c r="L31" s="145">
        <f t="shared" si="14"/>
        <v>8.4914468146425337E-2</v>
      </c>
      <c r="M31" s="145">
        <f t="shared" si="14"/>
        <v>8.8882065165139412E-2</v>
      </c>
      <c r="N31" s="145">
        <f t="shared" si="14"/>
        <v>9.0278010008388462E-2</v>
      </c>
    </row>
    <row r="32" spans="2:14" ht="18">
      <c r="B32" s="144" t="str">
        <v>Net Income</v>
      </c>
      <c r="C32" s="145">
        <f>C21</f>
        <v>-0.19541008113917394</v>
      </c>
      <c r="D32" s="145">
        <f t="shared" ref="D32:N32" si="15">D21</f>
        <v>-2.6292073855253735E-2</v>
      </c>
      <c r="E32" s="145">
        <f t="shared" si="15"/>
        <v>3.2321560941649667E-2</v>
      </c>
      <c r="F32" s="145">
        <f t="shared" si="15"/>
        <v>4.6373121321644888E-2</v>
      </c>
      <c r="G32" s="145">
        <f t="shared" si="15"/>
        <v>4.373184817446276E-2</v>
      </c>
      <c r="H32" s="145">
        <f t="shared" si="15"/>
        <v>3.3415225993198135E-2</v>
      </c>
      <c r="I32" s="145">
        <f t="shared" si="15"/>
        <v>5.1109198680249858E-2</v>
      </c>
      <c r="J32" s="145">
        <f t="shared" si="15"/>
        <v>5.6132043689969456E-2</v>
      </c>
      <c r="K32" s="145">
        <f t="shared" si="15"/>
        <v>5.9110248187714792E-2</v>
      </c>
      <c r="L32" s="145">
        <f t="shared" si="15"/>
        <v>6.2411952275024656E-2</v>
      </c>
      <c r="M32" s="145">
        <f t="shared" si="15"/>
        <v>6.723964696289414E-2</v>
      </c>
      <c r="N32" s="145">
        <f t="shared" si="15"/>
        <v>6.947065113908564E-2</v>
      </c>
    </row>
    <row r="33" spans="2:14" ht="18">
      <c r="B33" s="142"/>
      <c r="C33" s="142"/>
      <c r="D33" s="142"/>
      <c r="E33" s="142"/>
      <c r="F33" s="142"/>
      <c r="G33" s="142"/>
      <c r="H33" s="142"/>
      <c r="I33" s="142"/>
      <c r="J33" s="142"/>
    </row>
    <row r="34" spans="2:14" ht="18">
      <c r="B34" s="209" t="s">
        <v>63</v>
      </c>
      <c r="C34" s="209">
        <v>2020</v>
      </c>
      <c r="D34" s="209">
        <v>2021</v>
      </c>
      <c r="E34" s="209">
        <v>2022</v>
      </c>
      <c r="F34" s="209">
        <v>2023</v>
      </c>
      <c r="G34" s="209">
        <v>2024</v>
      </c>
      <c r="H34" s="209">
        <v>2025</v>
      </c>
      <c r="I34" s="209">
        <v>2026</v>
      </c>
      <c r="J34" s="209">
        <v>2027</v>
      </c>
      <c r="K34" s="209">
        <v>2028</v>
      </c>
      <c r="L34" s="209">
        <v>2029</v>
      </c>
      <c r="M34" s="209">
        <v>2030</v>
      </c>
      <c r="N34" s="209">
        <v>2031</v>
      </c>
    </row>
    <row r="35" spans="2:14" ht="18">
      <c r="B35" s="140" t="str" cm="1">
        <f t="array" ref="B35:B40">'Base MGM IS'!A41:A46</f>
        <v>EBIT/Interest</v>
      </c>
      <c r="C35" s="146">
        <f>'Base MGM IS'!B41</f>
        <v>-0.79673112747272279</v>
      </c>
      <c r="D35" s="146">
        <f>'Base MGM IS'!C41</f>
        <v>0.98137302352571887</v>
      </c>
      <c r="E35" s="146">
        <f>'Base MGM IS'!D41</f>
        <v>0.62083663259000943</v>
      </c>
      <c r="F35" s="146">
        <f>'Base MGM IS'!E41</f>
        <v>3.2422174571414293</v>
      </c>
      <c r="G35" s="146">
        <f>'Base MGM IS'!F41</f>
        <v>3.3635900097015092</v>
      </c>
      <c r="H35" s="146">
        <f>'Base MGM IS'!G41</f>
        <v>3.278401687658993</v>
      </c>
      <c r="I35" s="146">
        <f>'Base MGM IS'!H41</f>
        <v>2.9842999734212654</v>
      </c>
      <c r="J35" s="146">
        <f>'Base MGM IS'!I41</f>
        <v>3.3045620044937802</v>
      </c>
      <c r="K35" s="146">
        <f>'Base MGM IS'!J41</f>
        <v>3.5215319483747325</v>
      </c>
      <c r="L35" s="146">
        <f>'Base MGM IS'!K41</f>
        <v>3.7735544163906765</v>
      </c>
      <c r="M35" s="146">
        <f>'Base MGM IS'!L41</f>
        <v>4.1068453781157608</v>
      </c>
      <c r="N35" s="146">
        <f>'Base MGM IS'!M41</f>
        <v>4.3387539271779447</v>
      </c>
    </row>
    <row r="36" spans="2:14" ht="18">
      <c r="B36" s="140" t="str">
        <v>EBITDA/Interest</v>
      </c>
      <c r="C36" s="146">
        <f>'Base MGM IS'!B42</f>
        <v>0.99302610958337001</v>
      </c>
      <c r="D36" s="146">
        <f>'Base MGM IS'!C42</f>
        <v>2.4203676120226167</v>
      </c>
      <c r="E36" s="146">
        <f>'Base MGM IS'!D42</f>
        <v>6.4734739793428684</v>
      </c>
      <c r="F36" s="146">
        <f>'Base MGM IS'!E42</f>
        <v>5.0109343396488759</v>
      </c>
      <c r="G36" s="146">
        <f>'Base MGM IS'!F42</f>
        <v>5.2386819484240679</v>
      </c>
      <c r="H36" s="146">
        <f>'Base MGM IS'!G42</f>
        <v>5.7072608473613613</v>
      </c>
      <c r="I36" s="146">
        <f>'Base MGM IS'!H42</f>
        <v>5.2579098217360798</v>
      </c>
      <c r="J36" s="146">
        <f>'Base MGM IS'!I42</f>
        <v>5.7030209794993967</v>
      </c>
      <c r="K36" s="146">
        <f>'Base MGM IS'!J42</f>
        <v>6.0050063406418372</v>
      </c>
      <c r="L36" s="146">
        <f>'Base MGM IS'!K42</f>
        <v>6.3515207457454306</v>
      </c>
      <c r="M36" s="146">
        <f>'Base MGM IS'!L42</f>
        <v>6.7767053162289388</v>
      </c>
      <c r="N36" s="146">
        <f>'Base MGM IS'!M42</f>
        <v>7.1040520138042202</v>
      </c>
    </row>
    <row r="37" spans="2:14" ht="18">
      <c r="B37" s="140" t="str">
        <v>(EBITDA - CAPEX)/Interest</v>
      </c>
      <c r="C37" s="146">
        <f>'Base MGM IS'!B43</f>
        <v>0.59236376001655844</v>
      </c>
      <c r="D37" s="146">
        <f>'Base MGM IS'!C43</f>
        <v>1.8063052077744552</v>
      </c>
      <c r="E37" s="146">
        <f>'Base MGM IS'!D43</f>
        <v>5.1876602861833971</v>
      </c>
      <c r="F37" s="146">
        <f>'Base MGM IS'!E43</f>
        <v>2.9861370909399012</v>
      </c>
      <c r="G37" s="146">
        <f>'Base MGM IS'!F43</f>
        <v>2.5312839834848719</v>
      </c>
      <c r="H37" s="146">
        <f>'Base MGM IS'!G43</f>
        <v>3.0822256480257337</v>
      </c>
      <c r="I37" s="146">
        <f>'Base MGM IS'!H43</f>
        <v>2.8761743304747811</v>
      </c>
      <c r="J37" s="146">
        <f>'Base MGM IS'!I43</f>
        <v>3.321285488238098</v>
      </c>
      <c r="K37" s="146">
        <f>'Base MGM IS'!J43</f>
        <v>3.6232708493805381</v>
      </c>
      <c r="L37" s="146">
        <f>'Base MGM IS'!K43</f>
        <v>3.9697852544841314</v>
      </c>
      <c r="M37" s="146">
        <f>'Base MGM IS'!L43</f>
        <v>4.3949698249676397</v>
      </c>
      <c r="N37" s="146">
        <f>'Base MGM IS'!M43</f>
        <v>4.7223165225429211</v>
      </c>
    </row>
    <row r="38" spans="2:14" ht="18">
      <c r="B38" s="140" t="str">
        <v>Gross Debt/EBITDAR</v>
      </c>
      <c r="C38" s="146">
        <f>'Base MGM IS'!B44</f>
        <v>8.6996938843649083</v>
      </c>
      <c r="D38" s="146">
        <f>'Base MGM IS'!C44</f>
        <v>4.5511259803683997</v>
      </c>
      <c r="E38" s="146">
        <f>'Base MGM IS'!D44</f>
        <v>1.3068743095708486</v>
      </c>
      <c r="F38" s="146">
        <f>'Base MGM IS'!E44</f>
        <v>1.6112409817352094</v>
      </c>
      <c r="G38" s="146">
        <f>'Base MGM IS'!F44</f>
        <v>1.376399785908097</v>
      </c>
      <c r="H38" s="146">
        <f>'Base MGM IS'!G44</f>
        <v>1.3234781506672317</v>
      </c>
      <c r="I38" s="146">
        <f>'Base MGM IS'!H44</f>
        <v>1.179921212486305</v>
      </c>
      <c r="J38" s="146">
        <f>'Base MGM IS'!I44</f>
        <v>0.8690940022069048</v>
      </c>
      <c r="K38" s="146">
        <f>'Base MGM IS'!J44</f>
        <v>0.55483657945367071</v>
      </c>
      <c r="L38" s="146">
        <f>'Base MGM IS'!K44</f>
        <v>0.39009058023838339</v>
      </c>
      <c r="M38" s="146">
        <f>'Base MGM IS'!L44</f>
        <v>0.37083601538809385</v>
      </c>
      <c r="N38" s="146">
        <f>'Base MGM IS'!M44</f>
        <v>0.355766102453272</v>
      </c>
    </row>
    <row r="39" spans="2:14" ht="18">
      <c r="B39" s="140" t="str">
        <v>Adjusted Debt/EBITDAR</v>
      </c>
      <c r="C39" s="146">
        <f>'Base MGM IS'!B45</f>
        <v>14.597158853278883</v>
      </c>
      <c r="D39" s="146">
        <f>'Base MGM IS'!C45</f>
        <v>8.7571466040979473</v>
      </c>
      <c r="E39" s="146">
        <f>'Base MGM IS'!D45</f>
        <v>5.6145355448099279</v>
      </c>
      <c r="F39" s="146">
        <f>'Base MGM IS'!E45</f>
        <v>7.0581762349186175</v>
      </c>
      <c r="G39" s="146">
        <f>'Base MGM IS'!F45</f>
        <v>6.8014182939540664</v>
      </c>
      <c r="H39" s="146">
        <f>'Base MGM IS'!G45</f>
        <v>6.6262996194678747</v>
      </c>
      <c r="I39" s="146">
        <f>'Base MGM IS'!H45</f>
        <v>6.6283474494634218</v>
      </c>
      <c r="J39" s="146">
        <f>'Base MGM IS'!I45</f>
        <v>5.9566565861073322</v>
      </c>
      <c r="K39" s="146">
        <f>'Base MGM IS'!J45</f>
        <v>5.4232547786056271</v>
      </c>
      <c r="L39" s="146">
        <f>'Base MGM IS'!K45</f>
        <v>5.0380823802925292</v>
      </c>
      <c r="M39" s="146">
        <f>'Base MGM IS'!L45</f>
        <v>4.7881981051407614</v>
      </c>
      <c r="N39" s="146">
        <f>'Base MGM IS'!M45</f>
        <v>4.5933553579146773</v>
      </c>
    </row>
    <row r="40" spans="2:14" ht="18">
      <c r="B40" s="140" t="str">
        <v>FCF/ Debt</v>
      </c>
      <c r="C40" s="146">
        <f>'Base MGM IS'!B46</f>
        <v>-5.2611811882842044E-2</v>
      </c>
      <c r="D40" s="146">
        <f>'Base MGM IS'!C46</f>
        <v>-6.5049473974298335E-3</v>
      </c>
      <c r="E40" s="146">
        <f>'Base MGM IS'!D46</f>
        <v>5.7851769597151902E-2</v>
      </c>
      <c r="F40" s="146">
        <f>'Base MGM IS'!E46</f>
        <v>1.4380450745279359E-2</v>
      </c>
      <c r="G40" s="146">
        <f>'Base MGM IS'!F46</f>
        <v>1.0660719184767386E-2</v>
      </c>
      <c r="H40" s="146">
        <f>'Base MGM IS'!G46</f>
        <v>1.5988486241904121E-2</v>
      </c>
      <c r="I40" s="146">
        <f>'Base MGM IS'!H46</f>
        <v>1.7522558849646146E-2</v>
      </c>
      <c r="J40" s="146">
        <f>'Base MGM IS'!I46</f>
        <v>2.7476648459409246E-2</v>
      </c>
      <c r="K40" s="146">
        <f>'Base MGM IS'!J46</f>
        <v>3.6588441107039328E-2</v>
      </c>
      <c r="L40" s="146">
        <f>'Base MGM IS'!K46</f>
        <v>4.3525206166846145E-2</v>
      </c>
      <c r="M40" s="146">
        <f>'Base MGM IS'!L46</f>
        <v>5.1375346297475463E-2</v>
      </c>
      <c r="N40" s="146">
        <f>'Base MGM IS'!M46</f>
        <v>5.5226012768144879E-2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Base Revenue Driver</vt:lpstr>
      <vt:lpstr>Base MGM IS</vt:lpstr>
      <vt:lpstr>Downside Revenue Driver</vt:lpstr>
      <vt:lpstr>Downside MGM IS</vt:lpstr>
      <vt:lpstr>MGM Bond</vt:lpstr>
      <vt:lpstr>Graphs &amp; Tables</vt:lpstr>
      <vt:lpstr>'Base MGM IS'!Print_Area</vt:lpstr>
      <vt:lpstr>'Base Revenue Driver'!Print_Area</vt:lpstr>
      <vt:lpstr>'Downside MGM IS'!Print_Area</vt:lpstr>
      <vt:lpstr>'Downside Revenue Driver'!Print_Area</vt:lpstr>
      <vt:lpstr>'MGM Bond'!Print_Area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Fidelity Investments</dc:creator>
  <cp:lastModifiedBy>OWEN PURNOMO</cp:lastModifiedBy>
  <cp:lastPrinted>2007-10-22T14:51:34Z</cp:lastPrinted>
  <dcterms:created xsi:type="dcterms:W3CDTF">2005-06-23T13:16:59Z</dcterms:created>
  <dcterms:modified xsi:type="dcterms:W3CDTF">2026-04-03T20:10:24Z</dcterms:modified>
</cp:coreProperties>
</file>